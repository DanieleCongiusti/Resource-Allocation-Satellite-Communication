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tables/table22.xml" ContentType="application/vnd.openxmlformats-officedocument.spreadsheetml.table+xml"/>
  <Override PartName="/xl/queryTables/queryTable21.xml" ContentType="application/vnd.openxmlformats-officedocument.spreadsheetml.queryTable+xml"/>
  <Override PartName="/xl/tables/table23.xml" ContentType="application/vnd.openxmlformats-officedocument.spreadsheetml.table+xml"/>
  <Override PartName="/xl/queryTables/queryTable22.xml" ContentType="application/vnd.openxmlformats-officedocument.spreadsheetml.queryTable+xml"/>
  <Override PartName="/xl/tables/table24.xml" ContentType="application/vnd.openxmlformats-officedocument.spreadsheetml.table+xml"/>
  <Override PartName="/xl/queryTables/queryTable23.xml" ContentType="application/vnd.openxmlformats-officedocument.spreadsheetml.queryTable+xml"/>
  <Override PartName="/xl/tables/table25.xml" ContentType="application/vnd.openxmlformats-officedocument.spreadsheetml.table+xml"/>
  <Override PartName="/xl/queryTables/queryTable24.xml" ContentType="application/vnd.openxmlformats-officedocument.spreadsheetml.queryTable+xml"/>
  <Override PartName="/xl/tables/table26.xml" ContentType="application/vnd.openxmlformats-officedocument.spreadsheetml.table+xml"/>
  <Override PartName="/xl/queryTables/queryTable25.xml" ContentType="application/vnd.openxmlformats-officedocument.spreadsheetml.queryTable+xml"/>
  <Override PartName="/xl/tables/table27.xml" ContentType="application/vnd.openxmlformats-officedocument.spreadsheetml.table+xml"/>
  <Override PartName="/xl/queryTables/queryTable26.xml" ContentType="application/vnd.openxmlformats-officedocument.spreadsheetml.queryTable+xml"/>
  <Override PartName="/xl/tables/table28.xml" ContentType="application/vnd.openxmlformats-officedocument.spreadsheetml.table+xml"/>
  <Override PartName="/xl/queryTables/queryTable27.xml" ContentType="application/vnd.openxmlformats-officedocument.spreadsheetml.queryTable+xml"/>
  <Override PartName="/xl/tables/table29.xml" ContentType="application/vnd.openxmlformats-officedocument.spreadsheetml.table+xml"/>
  <Override PartName="/xl/queryTables/queryTable28.xml" ContentType="application/vnd.openxmlformats-officedocument.spreadsheetml.queryTable+xml"/>
  <Override PartName="/xl/tables/table30.xml" ContentType="application/vnd.openxmlformats-officedocument.spreadsheetml.table+xml"/>
  <Override PartName="/xl/queryTables/queryTable29.xml" ContentType="application/vnd.openxmlformats-officedocument.spreadsheetml.queryTable+xml"/>
  <Override PartName="/xl/tables/table31.xml" ContentType="application/vnd.openxmlformats-officedocument.spreadsheetml.table+xml"/>
  <Override PartName="/xl/queryTables/queryTable30.xml" ContentType="application/vnd.openxmlformats-officedocument.spreadsheetml.queryTable+xml"/>
  <Override PartName="/xl/tables/table32.xml" ContentType="application/vnd.openxmlformats-officedocument.spreadsheetml.table+xml"/>
  <Override PartName="/xl/queryTables/queryTable31.xml" ContentType="application/vnd.openxmlformats-officedocument.spreadsheetml.queryTable+xml"/>
  <Override PartName="/xl/tables/table33.xml" ContentType="application/vnd.openxmlformats-officedocument.spreadsheetml.table+xml"/>
  <Override PartName="/xl/queryTables/queryTable32.xml" ContentType="application/vnd.openxmlformats-officedocument.spreadsheetml.queryTable+xml"/>
  <Override PartName="/xl/tables/table34.xml" ContentType="application/vnd.openxmlformats-officedocument.spreadsheetml.table+xml"/>
  <Override PartName="/xl/queryTables/queryTable33.xml" ContentType="application/vnd.openxmlformats-officedocument.spreadsheetml.queryTable+xml"/>
  <Override PartName="/xl/tables/table35.xml" ContentType="application/vnd.openxmlformats-officedocument.spreadsheetml.table+xml"/>
  <Override PartName="/xl/queryTables/queryTable34.xml" ContentType="application/vnd.openxmlformats-officedocument.spreadsheetml.queryTable+xml"/>
  <Override PartName="/xl/tables/table36.xml" ContentType="application/vnd.openxmlformats-officedocument.spreadsheetml.table+xml"/>
  <Override PartName="/xl/queryTables/queryTable35.xml" ContentType="application/vnd.openxmlformats-officedocument.spreadsheetml.query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queryTables/queryTable36.xml" ContentType="application/vnd.openxmlformats-officedocument.spreadsheetml.queryTable+xml"/>
  <Override PartName="/xl/tables/table39.xml" ContentType="application/vnd.openxmlformats-officedocument.spreadsheetml.table+xml"/>
  <Override PartName="/xl/queryTables/queryTable37.xml" ContentType="application/vnd.openxmlformats-officedocument.spreadsheetml.queryTable+xml"/>
  <Override PartName="/xl/tables/table40.xml" ContentType="application/vnd.openxmlformats-officedocument.spreadsheetml.table+xml"/>
  <Override PartName="/xl/queryTables/queryTable38.xml" ContentType="application/vnd.openxmlformats-officedocument.spreadsheetml.queryTable+xml"/>
  <Override PartName="/xl/tables/table41.xml" ContentType="application/vnd.openxmlformats-officedocument.spreadsheetml.table+xml"/>
  <Override PartName="/xl/queryTables/queryTable39.xml" ContentType="application/vnd.openxmlformats-officedocument.spreadsheetml.queryTable+xml"/>
  <Override PartName="/xl/tables/table42.xml" ContentType="application/vnd.openxmlformats-officedocument.spreadsheetml.table+xml"/>
  <Override PartName="/xl/queryTables/queryTable40.xml" ContentType="application/vnd.openxmlformats-officedocument.spreadsheetml.queryTable+xml"/>
  <Override PartName="/xl/tables/table43.xml" ContentType="application/vnd.openxmlformats-officedocument.spreadsheetml.table+xml"/>
  <Override PartName="/xl/queryTables/queryTable41.xml" ContentType="application/vnd.openxmlformats-officedocument.spreadsheetml.queryTable+xml"/>
  <Override PartName="/xl/tables/table44.xml" ContentType="application/vnd.openxmlformats-officedocument.spreadsheetml.table+xml"/>
  <Override PartName="/xl/queryTables/queryTable42.xml" ContentType="application/vnd.openxmlformats-officedocument.spreadsheetml.queryTable+xml"/>
  <Override PartName="/xl/tables/table45.xml" ContentType="application/vnd.openxmlformats-officedocument.spreadsheetml.table+xml"/>
  <Override PartName="/xl/queryTables/queryTable43.xml" ContentType="application/vnd.openxmlformats-officedocument.spreadsheetml.queryTable+xml"/>
  <Override PartName="/xl/tables/table46.xml" ContentType="application/vnd.openxmlformats-officedocument.spreadsheetml.table+xml"/>
  <Override PartName="/xl/queryTables/queryTable44.xml" ContentType="application/vnd.openxmlformats-officedocument.spreadsheetml.queryTable+xml"/>
  <Override PartName="/xl/tables/table47.xml" ContentType="application/vnd.openxmlformats-officedocument.spreadsheetml.table+xml"/>
  <Override PartName="/xl/queryTables/queryTable45.xml" ContentType="application/vnd.openxmlformats-officedocument.spreadsheetml.queryTable+xml"/>
  <Override PartName="/xl/tables/table48.xml" ContentType="application/vnd.openxmlformats-officedocument.spreadsheetml.table+xml"/>
  <Override PartName="/xl/queryTables/queryTable4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copomassei/opp_workspace/Resource_Allocator/"/>
    </mc:Choice>
  </mc:AlternateContent>
  <xr:revisionPtr revIDLastSave="0" documentId="13_ncr:1_{5E7D8A5A-89F9-7A40-B6BE-8BB43D5C4F18}" xr6:coauthVersionLast="47" xr6:coauthVersionMax="47" xr10:uidLastSave="{00000000-0000-0000-0000-000000000000}"/>
  <bookViews>
    <workbookView xWindow="0" yWindow="620" windowWidth="28800" windowHeight="17380" firstSheet="11" activeTab="22" xr2:uid="{55886A1A-5549-4A51-A84B-05C204D8DC8A}"/>
  </bookViews>
  <sheets>
    <sheet name="N=8 K=2" sheetId="1" r:id="rId1"/>
    <sheet name="N=8 K=5" sheetId="2" r:id="rId2"/>
    <sheet name="N=8 K=20" sheetId="3" r:id="rId3"/>
    <sheet name="N=8 K=50" sheetId="4" r:id="rId4"/>
    <sheet name="N=8 K=1000" sheetId="5" r:id="rId5"/>
    <sheet name="N=12 K=2" sheetId="6" r:id="rId6"/>
    <sheet name="N=12 K=5" sheetId="25" r:id="rId7"/>
    <sheet name="N=12 K=20" sheetId="7" r:id="rId8"/>
    <sheet name="N=12 K=50" sheetId="8" r:id="rId9"/>
    <sheet name="N=12 K=1000" sheetId="9" r:id="rId10"/>
    <sheet name="N=16 K=2" sheetId="10" r:id="rId11"/>
    <sheet name="N=16 K=5" sheetId="12" r:id="rId12"/>
    <sheet name="N=16 K=20" sheetId="11" r:id="rId13"/>
    <sheet name="N=16 K=50" sheetId="13" r:id="rId14"/>
    <sheet name="N=16 K=1000" sheetId="14" r:id="rId15"/>
    <sheet name="N=20 K=2" sheetId="15" r:id="rId16"/>
    <sheet name="N=20 K=5" sheetId="16" r:id="rId17"/>
    <sheet name="N=20 K=20" sheetId="17" r:id="rId18"/>
    <sheet name="N=20 K=50" sheetId="18" r:id="rId19"/>
    <sheet name="N=20 K=1000" sheetId="19" r:id="rId20"/>
    <sheet name="N=24 K=2" sheetId="20" r:id="rId21"/>
    <sheet name="N=24 K=5" sheetId="21" r:id="rId22"/>
    <sheet name="N=24 K=20" sheetId="22" r:id="rId23"/>
    <sheet name="N=24 K=50" sheetId="23" r:id="rId24"/>
    <sheet name="N=24 K=1000" sheetId="24" r:id="rId25"/>
  </sheets>
  <definedNames>
    <definedName name="DatiEsterni_1" localSheetId="9" hidden="1">'N=12 K=1000'!$A$1:$A$36</definedName>
    <definedName name="DatiEsterni_1" localSheetId="5" hidden="1">'N=12 K=2'!$A$1:$A$36</definedName>
    <definedName name="DatiEsterni_1" localSheetId="7" hidden="1">'N=12 K=20'!$A$1:$A$36</definedName>
    <definedName name="DatiEsterni_1" localSheetId="8" hidden="1">'N=12 K=50'!$A$1:$A$36</definedName>
    <definedName name="DatiEsterni_1" localSheetId="14" hidden="1">'N=16 K=1000'!$A$1:$A$36</definedName>
    <definedName name="DatiEsterni_1" localSheetId="10" hidden="1">'N=16 K=2'!$A$1:$A$36</definedName>
    <definedName name="DatiEsterni_1" localSheetId="12" hidden="1">'N=16 K=20'!$A$1:$A$36</definedName>
    <definedName name="DatiEsterni_1" localSheetId="11" hidden="1">'N=16 K=5'!$A$1:$A$36</definedName>
    <definedName name="DatiEsterni_1" localSheetId="13" hidden="1">'N=16 K=50'!$A$1:$A$36</definedName>
    <definedName name="DatiEsterni_1" localSheetId="15" hidden="1">'N=20 K=2'!$A$1:$A$36</definedName>
    <definedName name="DatiEsterni_1" localSheetId="17" hidden="1">'N=20 K=20'!$A$1:$A$36</definedName>
    <definedName name="DatiEsterni_1" localSheetId="16" hidden="1">'N=20 K=5'!$A$1:$A$36</definedName>
    <definedName name="DatiEsterni_1" localSheetId="18" hidden="1">'N=20 K=50'!$A$1:$A$36</definedName>
    <definedName name="DatiEsterni_1" localSheetId="24" hidden="1">'N=24 K=1000'!$A$1:$A$36</definedName>
    <definedName name="DatiEsterni_1" localSheetId="20" hidden="1">'N=24 K=2'!$A$1:$A$36</definedName>
    <definedName name="DatiEsterni_1" localSheetId="22" hidden="1">'N=24 K=20'!$A$1:$A$36</definedName>
    <definedName name="DatiEsterni_1" localSheetId="21" hidden="1">'N=24 K=5'!$A$1:$A$36</definedName>
    <definedName name="DatiEsterni_1" localSheetId="23" hidden="1">'N=24 K=50'!$A$1:$A$36</definedName>
    <definedName name="DatiEsterni_1" localSheetId="4" hidden="1">'N=8 K=1000'!$A$1:$A$36</definedName>
    <definedName name="DatiEsterni_1" localSheetId="2" hidden="1">'N=8 K=20'!$A$1:$A$36</definedName>
    <definedName name="DatiEsterni_1" localSheetId="1" hidden="1">'N=8 K=5'!$B$1:$B$36</definedName>
    <definedName name="DatiEsterni_1" localSheetId="3" hidden="1">'N=8 K=50'!$A$1:$A$36</definedName>
    <definedName name="DatiEsterni_2" localSheetId="9" hidden="1">'N=12 K=1000'!$B$1:$B$36</definedName>
    <definedName name="DatiEsterni_2" localSheetId="5" hidden="1">'N=12 K=2'!$B$1:$B$36</definedName>
    <definedName name="DatiEsterni_2" localSheetId="7" hidden="1">'N=12 K=20'!$B$1:$B$36</definedName>
    <definedName name="DatiEsterni_2" localSheetId="6" hidden="1">'N=12 K=5'!$B$1:$B$36</definedName>
    <definedName name="DatiEsterni_2" localSheetId="8" hidden="1">'N=12 K=50'!$B$1:$B$36</definedName>
    <definedName name="DatiEsterni_2" localSheetId="14" hidden="1">'N=16 K=1000'!$B$1:$B$36</definedName>
    <definedName name="DatiEsterni_2" localSheetId="10" hidden="1">'N=16 K=2'!$B$1:$B$36</definedName>
    <definedName name="DatiEsterni_2" localSheetId="12" hidden="1">'N=16 K=20'!$B$1:$B$36</definedName>
    <definedName name="DatiEsterni_2" localSheetId="11" hidden="1">'N=16 K=5'!$B$1:$B$36</definedName>
    <definedName name="DatiEsterni_2" localSheetId="13" hidden="1">'N=16 K=50'!$B$1:$B$36</definedName>
    <definedName name="DatiEsterni_2" localSheetId="19" hidden="1">'N=20 K=1000'!$B$1:$B$36</definedName>
    <definedName name="DatiEsterni_2" localSheetId="15" hidden="1">'N=20 K=2'!$B$1:$B$36</definedName>
    <definedName name="DatiEsterni_2" localSheetId="17" hidden="1">'N=20 K=20'!$B$1:$B$36</definedName>
    <definedName name="DatiEsterni_2" localSheetId="16" hidden="1">'N=20 K=5'!$B$1:$B$36</definedName>
    <definedName name="DatiEsterni_2" localSheetId="18" hidden="1">'N=20 K=50'!$B$1:$B$36</definedName>
    <definedName name="DatiEsterni_2" localSheetId="24" hidden="1">'N=24 K=1000'!$B$1:$B$36</definedName>
    <definedName name="DatiEsterni_2" localSheetId="20" hidden="1">'N=24 K=2'!$B$1:$B$36</definedName>
    <definedName name="DatiEsterni_2" localSheetId="22" hidden="1">'N=24 K=20'!$B$1:$B$36</definedName>
    <definedName name="DatiEsterni_2" localSheetId="21" hidden="1">'N=24 K=5'!$B$1:$B$36</definedName>
    <definedName name="DatiEsterni_2" localSheetId="23" hidden="1">'N=24 K=50'!$B$1:$B$36</definedName>
    <definedName name="DatiEsterni_2" localSheetId="4" hidden="1">'N=8 K=1000'!#REF!</definedName>
    <definedName name="DatiEsterni_2" localSheetId="2" hidden="1">'N=8 K=20'!$B$1:$B$36</definedName>
    <definedName name="DatiEsterni_2" localSheetId="3" hidden="1">'N=8 K=50'!$B$1:$B$36</definedName>
    <definedName name="DatiEsterni_3" localSheetId="6" hidden="1">'N=12 K=5'!$A$1:$A$36</definedName>
    <definedName name="DatiEsterni_3" localSheetId="4" hidden="1">'N=8 K=1000'!$B$1:$B$36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_8_2_85276e6e-d045-42d5-bacf-1685271083b3" name="A_8_2" connection="Query - A_8_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2" l="1"/>
  <c r="B48" i="12"/>
  <c r="F48" i="12"/>
  <c r="B64" i="24"/>
  <c r="C64" i="24" s="1"/>
  <c r="D64" i="24" s="1"/>
  <c r="E64" i="24" s="1"/>
  <c r="B63" i="24"/>
  <c r="C63" i="24" s="1"/>
  <c r="D63" i="24" s="1"/>
  <c r="E63" i="24" s="1"/>
  <c r="B56" i="24"/>
  <c r="C56" i="24" s="1"/>
  <c r="D56" i="24" s="1"/>
  <c r="E56" i="24" s="1"/>
  <c r="B55" i="24"/>
  <c r="C55" i="24" s="1"/>
  <c r="D55" i="24" s="1"/>
  <c r="E55" i="24" s="1"/>
  <c r="B64" i="23"/>
  <c r="C64" i="23" s="1"/>
  <c r="D64" i="23" s="1"/>
  <c r="E64" i="23" s="1"/>
  <c r="B63" i="23"/>
  <c r="C63" i="23" s="1"/>
  <c r="D63" i="23" s="1"/>
  <c r="E63" i="23" s="1"/>
  <c r="B56" i="23"/>
  <c r="C56" i="23" s="1"/>
  <c r="D56" i="23" s="1"/>
  <c r="E56" i="23" s="1"/>
  <c r="B55" i="23"/>
  <c r="C55" i="23" s="1"/>
  <c r="D55" i="23" s="1"/>
  <c r="E55" i="23" s="1"/>
  <c r="B64" i="22"/>
  <c r="C64" i="22" s="1"/>
  <c r="B63" i="22"/>
  <c r="C63" i="22" s="1"/>
  <c r="B56" i="22"/>
  <c r="C56" i="22" s="1"/>
  <c r="B55" i="22"/>
  <c r="C55" i="22" s="1"/>
  <c r="C64" i="21"/>
  <c r="D64" i="21" s="1"/>
  <c r="E64" i="21" s="1"/>
  <c r="B64" i="21"/>
  <c r="B63" i="21"/>
  <c r="C63" i="21" s="1"/>
  <c r="D63" i="21" s="1"/>
  <c r="E63" i="21" s="1"/>
  <c r="D56" i="21"/>
  <c r="E56" i="21" s="1"/>
  <c r="C56" i="21"/>
  <c r="B56" i="21"/>
  <c r="B55" i="21"/>
  <c r="C55" i="21" s="1"/>
  <c r="D55" i="21" s="1"/>
  <c r="E55" i="21" s="1"/>
  <c r="B64" i="20"/>
  <c r="C64" i="20" s="1"/>
  <c r="D64" i="20" s="1"/>
  <c r="E64" i="20" s="1"/>
  <c r="B63" i="20"/>
  <c r="C63" i="20" s="1"/>
  <c r="D63" i="20" s="1"/>
  <c r="E63" i="20" s="1"/>
  <c r="D56" i="20"/>
  <c r="E56" i="20" s="1"/>
  <c r="C56" i="20"/>
  <c r="B56" i="20"/>
  <c r="B55" i="20"/>
  <c r="C55" i="20" s="1"/>
  <c r="D55" i="20" s="1"/>
  <c r="E55" i="20" s="1"/>
  <c r="B64" i="19"/>
  <c r="C64" i="19" s="1"/>
  <c r="D64" i="19" s="1"/>
  <c r="E64" i="19" s="1"/>
  <c r="B63" i="19"/>
  <c r="C63" i="19" s="1"/>
  <c r="D63" i="19" s="1"/>
  <c r="E63" i="19" s="1"/>
  <c r="D56" i="19"/>
  <c r="E56" i="19" s="1"/>
  <c r="C56" i="19"/>
  <c r="B56" i="19"/>
  <c r="B55" i="19"/>
  <c r="C55" i="19" s="1"/>
  <c r="D55" i="19" s="1"/>
  <c r="E55" i="19" s="1"/>
  <c r="B67" i="18"/>
  <c r="C67" i="18" s="1"/>
  <c r="D67" i="18" s="1"/>
  <c r="E67" i="18" s="1"/>
  <c r="B66" i="18"/>
  <c r="C66" i="18" s="1"/>
  <c r="D66" i="18" s="1"/>
  <c r="E66" i="18" s="1"/>
  <c r="D59" i="18"/>
  <c r="E59" i="18" s="1"/>
  <c r="C59" i="18"/>
  <c r="B59" i="18"/>
  <c r="B58" i="18"/>
  <c r="C58" i="18" s="1"/>
  <c r="D58" i="18" s="1"/>
  <c r="E58" i="18" s="1"/>
  <c r="B67" i="17"/>
  <c r="C67" i="17" s="1"/>
  <c r="D67" i="17" s="1"/>
  <c r="E67" i="17" s="1"/>
  <c r="B66" i="17"/>
  <c r="C66" i="17" s="1"/>
  <c r="D66" i="17" s="1"/>
  <c r="E66" i="17" s="1"/>
  <c r="B59" i="17"/>
  <c r="C59" i="17" s="1"/>
  <c r="D59" i="17" s="1"/>
  <c r="E59" i="17" s="1"/>
  <c r="C58" i="17"/>
  <c r="D58" i="17" s="1"/>
  <c r="E58" i="17" s="1"/>
  <c r="B58" i="17"/>
  <c r="B64" i="16"/>
  <c r="C64" i="16" s="1"/>
  <c r="D64" i="16" s="1"/>
  <c r="E64" i="16" s="1"/>
  <c r="B63" i="16"/>
  <c r="C63" i="16" s="1"/>
  <c r="D63" i="16" s="1"/>
  <c r="E63" i="16" s="1"/>
  <c r="B56" i="16"/>
  <c r="C56" i="16" s="1"/>
  <c r="D56" i="16" s="1"/>
  <c r="E56" i="16" s="1"/>
  <c r="B55" i="16"/>
  <c r="C55" i="16" s="1"/>
  <c r="D55" i="16" s="1"/>
  <c r="E55" i="16" s="1"/>
  <c r="B64" i="15"/>
  <c r="C64" i="15" s="1"/>
  <c r="D64" i="15" s="1"/>
  <c r="E64" i="15" s="1"/>
  <c r="B63" i="15"/>
  <c r="C63" i="15" s="1"/>
  <c r="D63" i="15" s="1"/>
  <c r="E63" i="15" s="1"/>
  <c r="B56" i="15"/>
  <c r="C56" i="15" s="1"/>
  <c r="D56" i="15" s="1"/>
  <c r="E56" i="15" s="1"/>
  <c r="B55" i="15"/>
  <c r="C55" i="15" s="1"/>
  <c r="D55" i="15" s="1"/>
  <c r="E55" i="15" s="1"/>
  <c r="B64" i="14"/>
  <c r="C64" i="14" s="1"/>
  <c r="D64" i="14" s="1"/>
  <c r="E64" i="14" s="1"/>
  <c r="B63" i="14"/>
  <c r="C63" i="14" s="1"/>
  <c r="D63" i="14" s="1"/>
  <c r="E63" i="14" s="1"/>
  <c r="E56" i="14"/>
  <c r="F56" i="14" s="1"/>
  <c r="D56" i="14"/>
  <c r="C56" i="14"/>
  <c r="B56" i="14"/>
  <c r="C55" i="14"/>
  <c r="D55" i="14" s="1"/>
  <c r="E55" i="14" s="1"/>
  <c r="B55" i="14"/>
  <c r="B64" i="13"/>
  <c r="C64" i="13" s="1"/>
  <c r="D64" i="13" s="1"/>
  <c r="E64" i="13" s="1"/>
  <c r="B63" i="13"/>
  <c r="C63" i="13" s="1"/>
  <c r="D63" i="13" s="1"/>
  <c r="E63" i="13" s="1"/>
  <c r="E56" i="13"/>
  <c r="F56" i="13" s="1"/>
  <c r="D56" i="13"/>
  <c r="C56" i="13"/>
  <c r="B56" i="13"/>
  <c r="C55" i="13"/>
  <c r="D55" i="13" s="1"/>
  <c r="E55" i="13" s="1"/>
  <c r="B55" i="13"/>
  <c r="B64" i="11"/>
  <c r="C64" i="11" s="1"/>
  <c r="D64" i="11" s="1"/>
  <c r="E64" i="11" s="1"/>
  <c r="B63" i="11"/>
  <c r="C63" i="11" s="1"/>
  <c r="D63" i="11" s="1"/>
  <c r="E63" i="11" s="1"/>
  <c r="B56" i="11"/>
  <c r="C56" i="11" s="1"/>
  <c r="D56" i="11" s="1"/>
  <c r="E56" i="11" s="1"/>
  <c r="B55" i="11"/>
  <c r="C55" i="11" s="1"/>
  <c r="D55" i="11" s="1"/>
  <c r="E55" i="11" s="1"/>
  <c r="C64" i="12"/>
  <c r="B64" i="12"/>
  <c r="B63" i="12"/>
  <c r="C63" i="12" s="1"/>
  <c r="B56" i="12"/>
  <c r="C56" i="12" s="1"/>
  <c r="D56" i="12" s="1"/>
  <c r="E56" i="12" s="1"/>
  <c r="B55" i="12"/>
  <c r="C55" i="12" s="1"/>
  <c r="D55" i="12" s="1"/>
  <c r="E55" i="12" s="1"/>
  <c r="B64" i="10"/>
  <c r="C64" i="10" s="1"/>
  <c r="D64" i="10" s="1"/>
  <c r="E64" i="10" s="1"/>
  <c r="B63" i="10"/>
  <c r="C63" i="10" s="1"/>
  <c r="D63" i="10" s="1"/>
  <c r="E63" i="10" s="1"/>
  <c r="B56" i="10"/>
  <c r="C56" i="10" s="1"/>
  <c r="D56" i="10" s="1"/>
  <c r="E56" i="10" s="1"/>
  <c r="B55" i="10"/>
  <c r="C55" i="10" s="1"/>
  <c r="D55" i="10" s="1"/>
  <c r="E55" i="10" s="1"/>
  <c r="B64" i="9"/>
  <c r="C64" i="9" s="1"/>
  <c r="D64" i="9" s="1"/>
  <c r="E64" i="9" s="1"/>
  <c r="B63" i="9"/>
  <c r="C63" i="9" s="1"/>
  <c r="D63" i="9" s="1"/>
  <c r="E63" i="9" s="1"/>
  <c r="D56" i="9"/>
  <c r="E56" i="9" s="1"/>
  <c r="C56" i="9"/>
  <c r="B56" i="9"/>
  <c r="B55" i="9"/>
  <c r="C55" i="9" s="1"/>
  <c r="D55" i="9" s="1"/>
  <c r="E55" i="9" s="1"/>
  <c r="B64" i="8"/>
  <c r="C64" i="8" s="1"/>
  <c r="D64" i="8" s="1"/>
  <c r="E64" i="8" s="1"/>
  <c r="B63" i="8"/>
  <c r="C63" i="8" s="1"/>
  <c r="D63" i="8" s="1"/>
  <c r="E63" i="8" s="1"/>
  <c r="B56" i="8"/>
  <c r="C56" i="8" s="1"/>
  <c r="D56" i="8" s="1"/>
  <c r="E56" i="8" s="1"/>
  <c r="B55" i="8"/>
  <c r="C55" i="8" s="1"/>
  <c r="D55" i="8" s="1"/>
  <c r="E55" i="8" s="1"/>
  <c r="B64" i="7"/>
  <c r="C64" i="7" s="1"/>
  <c r="D64" i="7" s="1"/>
  <c r="E64" i="7" s="1"/>
  <c r="B63" i="7"/>
  <c r="C63" i="7" s="1"/>
  <c r="D63" i="7" s="1"/>
  <c r="E63" i="7" s="1"/>
  <c r="C56" i="7"/>
  <c r="D56" i="7" s="1"/>
  <c r="E56" i="7" s="1"/>
  <c r="B56" i="7"/>
  <c r="C55" i="7"/>
  <c r="D55" i="7" s="1"/>
  <c r="E55" i="7" s="1"/>
  <c r="B55" i="7"/>
  <c r="B64" i="25"/>
  <c r="C64" i="25" s="1"/>
  <c r="D64" i="25" s="1"/>
  <c r="E64" i="25" s="1"/>
  <c r="B63" i="25"/>
  <c r="C63" i="25" s="1"/>
  <c r="D63" i="25" s="1"/>
  <c r="E63" i="25" s="1"/>
  <c r="B56" i="25"/>
  <c r="C56" i="25" s="1"/>
  <c r="D56" i="25" s="1"/>
  <c r="E56" i="25" s="1"/>
  <c r="B55" i="25"/>
  <c r="C55" i="25" s="1"/>
  <c r="D55" i="25" s="1"/>
  <c r="E55" i="25" s="1"/>
  <c r="B64" i="6"/>
  <c r="C64" i="6" s="1"/>
  <c r="D64" i="6" s="1"/>
  <c r="E64" i="6" s="1"/>
  <c r="B63" i="6"/>
  <c r="C63" i="6" s="1"/>
  <c r="D63" i="6" s="1"/>
  <c r="E63" i="6" s="1"/>
  <c r="B56" i="6"/>
  <c r="C56" i="6" s="1"/>
  <c r="D56" i="6" s="1"/>
  <c r="E56" i="6" s="1"/>
  <c r="C55" i="6"/>
  <c r="D55" i="6" s="1"/>
  <c r="E55" i="6" s="1"/>
  <c r="B55" i="6"/>
  <c r="B64" i="5"/>
  <c r="C64" i="5" s="1"/>
  <c r="D64" i="5" s="1"/>
  <c r="E64" i="5" s="1"/>
  <c r="B63" i="5"/>
  <c r="C63" i="5" s="1"/>
  <c r="D63" i="5" s="1"/>
  <c r="E63" i="5" s="1"/>
  <c r="B56" i="5"/>
  <c r="C56" i="5" s="1"/>
  <c r="D56" i="5" s="1"/>
  <c r="E56" i="5" s="1"/>
  <c r="B55" i="5"/>
  <c r="C55" i="5" s="1"/>
  <c r="D55" i="5" s="1"/>
  <c r="E55" i="5" s="1"/>
  <c r="B64" i="4"/>
  <c r="C64" i="4" s="1"/>
  <c r="D64" i="4" s="1"/>
  <c r="E64" i="4" s="1"/>
  <c r="B63" i="4"/>
  <c r="C63" i="4" s="1"/>
  <c r="D63" i="4" s="1"/>
  <c r="E63" i="4" s="1"/>
  <c r="C56" i="4"/>
  <c r="D56" i="4" s="1"/>
  <c r="E56" i="4" s="1"/>
  <c r="B56" i="4"/>
  <c r="B55" i="4"/>
  <c r="C55" i="4" s="1"/>
  <c r="D55" i="4" s="1"/>
  <c r="E55" i="4" s="1"/>
  <c r="G64" i="3"/>
  <c r="G63" i="3"/>
  <c r="G55" i="3"/>
  <c r="F56" i="3"/>
  <c r="F55" i="3"/>
  <c r="G56" i="3"/>
  <c r="C64" i="3"/>
  <c r="D64" i="3" s="1"/>
  <c r="E64" i="3" s="1"/>
  <c r="B64" i="3"/>
  <c r="B63" i="3"/>
  <c r="C63" i="3" s="1"/>
  <c r="D63" i="3" s="1"/>
  <c r="E63" i="3" s="1"/>
  <c r="C56" i="3"/>
  <c r="D56" i="3" s="1"/>
  <c r="E56" i="3" s="1"/>
  <c r="B56" i="3"/>
  <c r="B55" i="3"/>
  <c r="C55" i="3" s="1"/>
  <c r="D55" i="3" s="1"/>
  <c r="E55" i="3" s="1"/>
  <c r="B64" i="2"/>
  <c r="C64" i="2" s="1"/>
  <c r="B63" i="2"/>
  <c r="B56" i="2"/>
  <c r="C56" i="2" s="1"/>
  <c r="B55" i="2"/>
  <c r="C55" i="2" s="1"/>
  <c r="G64" i="1"/>
  <c r="F64" i="1"/>
  <c r="G63" i="1"/>
  <c r="F63" i="1"/>
  <c r="D64" i="1"/>
  <c r="D63" i="1"/>
  <c r="B64" i="1"/>
  <c r="C64" i="1" s="1"/>
  <c r="E64" i="1" s="1"/>
  <c r="B63" i="1"/>
  <c r="C63" i="1" s="1"/>
  <c r="F56" i="1"/>
  <c r="F55" i="1"/>
  <c r="G55" i="1"/>
  <c r="G56" i="1"/>
  <c r="E56" i="1"/>
  <c r="E55" i="1"/>
  <c r="D56" i="1"/>
  <c r="D55" i="1"/>
  <c r="C56" i="1"/>
  <c r="C55" i="1"/>
  <c r="H48" i="1"/>
  <c r="B56" i="1"/>
  <c r="B55" i="1"/>
  <c r="C49" i="12"/>
  <c r="F49" i="12" s="1"/>
  <c r="B49" i="12"/>
  <c r="C49" i="11"/>
  <c r="D49" i="11" s="1"/>
  <c r="C48" i="11"/>
  <c r="I48" i="11" s="1"/>
  <c r="B49" i="11"/>
  <c r="B48" i="11"/>
  <c r="C49" i="13"/>
  <c r="C48" i="13"/>
  <c r="B49" i="13"/>
  <c r="B48" i="13"/>
  <c r="J48" i="13" s="1"/>
  <c r="C49" i="14"/>
  <c r="F49" i="14" s="1"/>
  <c r="C48" i="14"/>
  <c r="B49" i="14"/>
  <c r="B48" i="14"/>
  <c r="C49" i="15"/>
  <c r="C48" i="15"/>
  <c r="I48" i="15" s="1"/>
  <c r="B49" i="15"/>
  <c r="B48" i="15"/>
  <c r="C49" i="16"/>
  <c r="C48" i="16"/>
  <c r="B49" i="16"/>
  <c r="B48" i="16"/>
  <c r="C49" i="17"/>
  <c r="F49" i="17" s="1"/>
  <c r="C48" i="17"/>
  <c r="B49" i="17"/>
  <c r="B48" i="17"/>
  <c r="C49" i="18"/>
  <c r="C48" i="18"/>
  <c r="F48" i="18" s="1"/>
  <c r="B49" i="18"/>
  <c r="B48" i="18"/>
  <c r="C49" i="19"/>
  <c r="C48" i="19"/>
  <c r="B49" i="19"/>
  <c r="B48" i="19"/>
  <c r="J48" i="19" s="1"/>
  <c r="C49" i="20"/>
  <c r="F49" i="20" s="1"/>
  <c r="C48" i="20"/>
  <c r="B49" i="20"/>
  <c r="B48" i="20"/>
  <c r="E48" i="20" s="1"/>
  <c r="C49" i="21"/>
  <c r="C48" i="21"/>
  <c r="C49" i="22"/>
  <c r="F49" i="22" s="1"/>
  <c r="C48" i="22"/>
  <c r="I48" i="22" s="1"/>
  <c r="B49" i="22"/>
  <c r="I48" i="19"/>
  <c r="F49" i="19"/>
  <c r="B48" i="22"/>
  <c r="J48" i="22" s="1"/>
  <c r="C49" i="23"/>
  <c r="F49" i="23" s="1"/>
  <c r="C48" i="23"/>
  <c r="D48" i="23" s="1"/>
  <c r="B49" i="23"/>
  <c r="B48" i="23"/>
  <c r="C49" i="24"/>
  <c r="C48" i="24"/>
  <c r="B49" i="24"/>
  <c r="B48" i="24"/>
  <c r="B49" i="21"/>
  <c r="B48" i="21"/>
  <c r="H48" i="24"/>
  <c r="E48" i="24"/>
  <c r="J48" i="24"/>
  <c r="H48" i="23"/>
  <c r="J48" i="23"/>
  <c r="H48" i="22"/>
  <c r="F49" i="21"/>
  <c r="H48" i="21"/>
  <c r="F48" i="21"/>
  <c r="J48" i="21"/>
  <c r="H48" i="20"/>
  <c r="H48" i="19"/>
  <c r="F49" i="18"/>
  <c r="H48" i="18"/>
  <c r="J48" i="18"/>
  <c r="H48" i="17"/>
  <c r="F48" i="17"/>
  <c r="I48" i="17"/>
  <c r="J48" i="17"/>
  <c r="I48" i="16"/>
  <c r="H48" i="16"/>
  <c r="F48" i="16"/>
  <c r="J48" i="16"/>
  <c r="H48" i="15"/>
  <c r="J48" i="15"/>
  <c r="H48" i="14"/>
  <c r="F48" i="14"/>
  <c r="J48" i="14"/>
  <c r="F49" i="13"/>
  <c r="H48" i="13"/>
  <c r="I48" i="13"/>
  <c r="J48" i="11"/>
  <c r="F48" i="11"/>
  <c r="H48" i="11"/>
  <c r="C49" i="10"/>
  <c r="F49" i="10" s="1"/>
  <c r="B49" i="10"/>
  <c r="H48" i="10"/>
  <c r="F48" i="10"/>
  <c r="C48" i="10"/>
  <c r="D48" i="10" s="1"/>
  <c r="B48" i="10"/>
  <c r="J48" i="10" s="1"/>
  <c r="C49" i="9"/>
  <c r="F49" i="9" s="1"/>
  <c r="B49" i="9"/>
  <c r="H48" i="9"/>
  <c r="C48" i="9"/>
  <c r="E48" i="9" s="1"/>
  <c r="B48" i="9"/>
  <c r="J48" i="9" s="1"/>
  <c r="C49" i="8"/>
  <c r="F49" i="8" s="1"/>
  <c r="B49" i="8"/>
  <c r="H48" i="8"/>
  <c r="C48" i="8"/>
  <c r="E48" i="8" s="1"/>
  <c r="B48" i="8"/>
  <c r="J48" i="8" s="1"/>
  <c r="C49" i="7"/>
  <c r="F49" i="7" s="1"/>
  <c r="B49" i="7"/>
  <c r="H48" i="7"/>
  <c r="C48" i="7"/>
  <c r="D48" i="7" s="1"/>
  <c r="B48" i="7"/>
  <c r="J48" i="7" s="1"/>
  <c r="F49" i="25"/>
  <c r="D49" i="25"/>
  <c r="C49" i="25"/>
  <c r="E49" i="25" s="1"/>
  <c r="B49" i="25"/>
  <c r="H48" i="25"/>
  <c r="C48" i="25"/>
  <c r="E48" i="25" s="1"/>
  <c r="B48" i="25"/>
  <c r="J48" i="25" s="1"/>
  <c r="C49" i="6"/>
  <c r="F49" i="6" s="1"/>
  <c r="B49" i="6"/>
  <c r="H48" i="6"/>
  <c r="C48" i="6"/>
  <c r="F48" i="6" s="1"/>
  <c r="B48" i="6"/>
  <c r="J48" i="6" s="1"/>
  <c r="B48" i="5"/>
  <c r="F48" i="5" s="1"/>
  <c r="C49" i="5"/>
  <c r="F49" i="5" s="1"/>
  <c r="B49" i="5"/>
  <c r="H48" i="5"/>
  <c r="D48" i="5"/>
  <c r="C48" i="5"/>
  <c r="I48" i="5" s="1"/>
  <c r="J48" i="5"/>
  <c r="C49" i="4"/>
  <c r="F49" i="4" s="1"/>
  <c r="B49" i="4"/>
  <c r="H48" i="4"/>
  <c r="C48" i="4"/>
  <c r="I48" i="4" s="1"/>
  <c r="B48" i="4"/>
  <c r="F48" i="4" s="1"/>
  <c r="J48" i="3"/>
  <c r="I48" i="3"/>
  <c r="F49" i="3"/>
  <c r="E49" i="3"/>
  <c r="D49" i="3"/>
  <c r="F48" i="3"/>
  <c r="E48" i="3"/>
  <c r="D48" i="3"/>
  <c r="C49" i="3"/>
  <c r="C48" i="3"/>
  <c r="B49" i="3"/>
  <c r="B48" i="3"/>
  <c r="H48" i="3"/>
  <c r="C49" i="2"/>
  <c r="C48" i="2"/>
  <c r="B49" i="2"/>
  <c r="B48" i="2"/>
  <c r="J48" i="2" s="1"/>
  <c r="H48" i="2"/>
  <c r="C49" i="1"/>
  <c r="F49" i="1" s="1"/>
  <c r="C48" i="1"/>
  <c r="E48" i="1" s="1"/>
  <c r="B49" i="1"/>
  <c r="B48" i="1"/>
  <c r="J48" i="1" s="1"/>
  <c r="E2" i="1"/>
  <c r="D55" i="22" l="1"/>
  <c r="E55" i="22" s="1"/>
  <c r="F55" i="22" s="1"/>
  <c r="D56" i="22"/>
  <c r="E56" i="22" s="1"/>
  <c r="F56" i="22" s="1"/>
  <c r="D63" i="22"/>
  <c r="E63" i="22" s="1"/>
  <c r="G63" i="22" s="1"/>
  <c r="D64" i="22"/>
  <c r="E64" i="22" s="1"/>
  <c r="F64" i="22" s="1"/>
  <c r="D63" i="12"/>
  <c r="E63" i="12" s="1"/>
  <c r="F63" i="12" s="1"/>
  <c r="D64" i="12"/>
  <c r="E64" i="12" s="1"/>
  <c r="F64" i="12" s="1"/>
  <c r="F55" i="24"/>
  <c r="G55" i="24"/>
  <c r="G56" i="24"/>
  <c r="F56" i="24"/>
  <c r="G63" i="24"/>
  <c r="F63" i="24"/>
  <c r="G64" i="24"/>
  <c r="F64" i="24"/>
  <c r="F56" i="23"/>
  <c r="G56" i="23"/>
  <c r="G63" i="23"/>
  <c r="F63" i="23"/>
  <c r="F55" i="23"/>
  <c r="G55" i="23"/>
  <c r="G64" i="23"/>
  <c r="F64" i="23"/>
  <c r="G55" i="22"/>
  <c r="G64" i="22"/>
  <c r="G55" i="21"/>
  <c r="F55" i="21"/>
  <c r="G63" i="21"/>
  <c r="F63" i="21"/>
  <c r="G56" i="21"/>
  <c r="F56" i="21"/>
  <c r="G64" i="21"/>
  <c r="F64" i="21"/>
  <c r="G56" i="20"/>
  <c r="F56" i="20"/>
  <c r="F55" i="20"/>
  <c r="G55" i="20"/>
  <c r="G63" i="20"/>
  <c r="F63" i="20"/>
  <c r="G64" i="20"/>
  <c r="F64" i="20"/>
  <c r="F55" i="19"/>
  <c r="G55" i="19"/>
  <c r="G56" i="19"/>
  <c r="F56" i="19"/>
  <c r="F63" i="19"/>
  <c r="G63" i="19"/>
  <c r="G64" i="19"/>
  <c r="F64" i="19"/>
  <c r="G58" i="18"/>
  <c r="F58" i="18"/>
  <c r="G59" i="18"/>
  <c r="F59" i="18"/>
  <c r="G66" i="18"/>
  <c r="F66" i="18"/>
  <c r="G67" i="18"/>
  <c r="F67" i="18"/>
  <c r="G59" i="17"/>
  <c r="F59" i="17"/>
  <c r="F58" i="17"/>
  <c r="G58" i="17"/>
  <c r="G66" i="17"/>
  <c r="F66" i="17"/>
  <c r="G67" i="17"/>
  <c r="F67" i="17"/>
  <c r="G56" i="16"/>
  <c r="F56" i="16"/>
  <c r="G63" i="16"/>
  <c r="F63" i="16"/>
  <c r="F55" i="16"/>
  <c r="G55" i="16"/>
  <c r="G64" i="16"/>
  <c r="F64" i="16"/>
  <c r="G55" i="15"/>
  <c r="F55" i="15"/>
  <c r="G56" i="15"/>
  <c r="F56" i="15"/>
  <c r="G63" i="15"/>
  <c r="F63" i="15"/>
  <c r="G64" i="15"/>
  <c r="F64" i="15"/>
  <c r="F55" i="14"/>
  <c r="G55" i="14"/>
  <c r="G63" i="14"/>
  <c r="F63" i="14"/>
  <c r="G64" i="14"/>
  <c r="F64" i="14"/>
  <c r="G56" i="14"/>
  <c r="G55" i="13"/>
  <c r="F55" i="13"/>
  <c r="G63" i="13"/>
  <c r="F63" i="13"/>
  <c r="G64" i="13"/>
  <c r="F64" i="13"/>
  <c r="G56" i="13"/>
  <c r="F55" i="11"/>
  <c r="G55" i="11"/>
  <c r="G56" i="11"/>
  <c r="F56" i="11"/>
  <c r="G63" i="11"/>
  <c r="F63" i="11"/>
  <c r="G64" i="11"/>
  <c r="F64" i="11"/>
  <c r="G55" i="12"/>
  <c r="F55" i="12"/>
  <c r="G56" i="12"/>
  <c r="F56" i="12"/>
  <c r="F55" i="10"/>
  <c r="G55" i="10"/>
  <c r="F56" i="10"/>
  <c r="G56" i="10"/>
  <c r="G63" i="10"/>
  <c r="F63" i="10"/>
  <c r="G64" i="10"/>
  <c r="F64" i="10"/>
  <c r="F55" i="9"/>
  <c r="G55" i="9"/>
  <c r="G56" i="9"/>
  <c r="F56" i="9"/>
  <c r="G63" i="9"/>
  <c r="F63" i="9"/>
  <c r="G64" i="9"/>
  <c r="F64" i="9"/>
  <c r="F55" i="8"/>
  <c r="G55" i="8"/>
  <c r="F56" i="8"/>
  <c r="G56" i="8"/>
  <c r="G63" i="8"/>
  <c r="F63" i="8"/>
  <c r="G64" i="8"/>
  <c r="F64" i="8"/>
  <c r="F55" i="7"/>
  <c r="G55" i="7"/>
  <c r="F56" i="7"/>
  <c r="G56" i="7"/>
  <c r="F63" i="7"/>
  <c r="G63" i="7"/>
  <c r="G64" i="7"/>
  <c r="F64" i="7"/>
  <c r="F55" i="25"/>
  <c r="G55" i="25"/>
  <c r="G56" i="25"/>
  <c r="F56" i="25"/>
  <c r="G63" i="25"/>
  <c r="F63" i="25"/>
  <c r="G64" i="25"/>
  <c r="F64" i="25"/>
  <c r="G55" i="6"/>
  <c r="F55" i="6"/>
  <c r="F56" i="6"/>
  <c r="G56" i="6"/>
  <c r="G63" i="6"/>
  <c r="F63" i="6"/>
  <c r="G64" i="6"/>
  <c r="F64" i="6"/>
  <c r="F55" i="5"/>
  <c r="G55" i="5"/>
  <c r="F56" i="5"/>
  <c r="G56" i="5"/>
  <c r="F63" i="5"/>
  <c r="G63" i="5"/>
  <c r="G64" i="5"/>
  <c r="F64" i="5"/>
  <c r="G55" i="4"/>
  <c r="F55" i="4"/>
  <c r="G56" i="4"/>
  <c r="F56" i="4"/>
  <c r="G63" i="4"/>
  <c r="F63" i="4"/>
  <c r="G64" i="4"/>
  <c r="F64" i="4"/>
  <c r="F63" i="3"/>
  <c r="F64" i="3"/>
  <c r="D55" i="2"/>
  <c r="E55" i="2" s="1"/>
  <c r="F55" i="2" s="1"/>
  <c r="D64" i="2"/>
  <c r="E64" i="2" s="1"/>
  <c r="G64" i="2" s="1"/>
  <c r="C63" i="2"/>
  <c r="D63" i="2" s="1"/>
  <c r="E63" i="2" s="1"/>
  <c r="D56" i="2"/>
  <c r="E56" i="2" s="1"/>
  <c r="G56" i="2" s="1"/>
  <c r="E63" i="1"/>
  <c r="D48" i="1"/>
  <c r="D49" i="1"/>
  <c r="I48" i="1"/>
  <c r="E49" i="1"/>
  <c r="F48" i="1"/>
  <c r="D48" i="12"/>
  <c r="E48" i="12"/>
  <c r="D49" i="12"/>
  <c r="E49" i="12"/>
  <c r="D48" i="11"/>
  <c r="E48" i="11"/>
  <c r="F49" i="15"/>
  <c r="F49" i="16"/>
  <c r="J48" i="20"/>
  <c r="D48" i="20"/>
  <c r="F49" i="24"/>
  <c r="I48" i="24"/>
  <c r="F48" i="24"/>
  <c r="D48" i="24"/>
  <c r="D49" i="24"/>
  <c r="E49" i="24"/>
  <c r="E48" i="23"/>
  <c r="F48" i="23"/>
  <c r="I48" i="23"/>
  <c r="E49" i="23"/>
  <c r="D49" i="23"/>
  <c r="D48" i="22"/>
  <c r="F48" i="22"/>
  <c r="E48" i="22"/>
  <c r="D49" i="22"/>
  <c r="E49" i="22"/>
  <c r="E48" i="21"/>
  <c r="I48" i="21"/>
  <c r="D48" i="21"/>
  <c r="D49" i="21"/>
  <c r="E49" i="21"/>
  <c r="F48" i="20"/>
  <c r="I48" i="20"/>
  <c r="E49" i="20"/>
  <c r="D49" i="20"/>
  <c r="E48" i="19"/>
  <c r="D48" i="19"/>
  <c r="F48" i="19"/>
  <c r="D49" i="19"/>
  <c r="E49" i="19"/>
  <c r="E48" i="18"/>
  <c r="I48" i="18"/>
  <c r="D48" i="18"/>
  <c r="E49" i="18"/>
  <c r="D49" i="18"/>
  <c r="D48" i="17"/>
  <c r="E48" i="17"/>
  <c r="D49" i="17"/>
  <c r="E49" i="17"/>
  <c r="D48" i="16"/>
  <c r="E48" i="16"/>
  <c r="E49" i="16"/>
  <c r="D49" i="16"/>
  <c r="D48" i="15"/>
  <c r="E48" i="15"/>
  <c r="F48" i="15"/>
  <c r="E49" i="15"/>
  <c r="D49" i="15"/>
  <c r="I48" i="14"/>
  <c r="D48" i="14"/>
  <c r="E48" i="14"/>
  <c r="D49" i="14"/>
  <c r="E49" i="14"/>
  <c r="D48" i="13"/>
  <c r="F48" i="13"/>
  <c r="D49" i="13"/>
  <c r="E49" i="13"/>
  <c r="E48" i="13"/>
  <c r="F49" i="11"/>
  <c r="E49" i="11"/>
  <c r="E48" i="10"/>
  <c r="I48" i="10"/>
  <c r="E49" i="10"/>
  <c r="D49" i="10"/>
  <c r="D48" i="9"/>
  <c r="F48" i="9"/>
  <c r="I48" i="9"/>
  <c r="D49" i="9"/>
  <c r="E49" i="9"/>
  <c r="F48" i="8"/>
  <c r="I48" i="8"/>
  <c r="D48" i="8"/>
  <c r="D49" i="8"/>
  <c r="E49" i="8"/>
  <c r="E48" i="7"/>
  <c r="F48" i="7"/>
  <c r="I48" i="7"/>
  <c r="D49" i="7"/>
  <c r="E49" i="7"/>
  <c r="F48" i="25"/>
  <c r="I48" i="25"/>
  <c r="D48" i="25"/>
  <c r="I48" i="6"/>
  <c r="D48" i="6"/>
  <c r="E48" i="6"/>
  <c r="D49" i="6"/>
  <c r="E49" i="6"/>
  <c r="E48" i="5"/>
  <c r="D49" i="5"/>
  <c r="E49" i="5"/>
  <c r="J48" i="4"/>
  <c r="D48" i="4"/>
  <c r="E48" i="4"/>
  <c r="D49" i="4"/>
  <c r="E49" i="4"/>
  <c r="D48" i="2"/>
  <c r="I48" i="2"/>
  <c r="F49" i="2"/>
  <c r="F48" i="2"/>
  <c r="E48" i="2"/>
  <c r="D49" i="2"/>
  <c r="E49" i="2"/>
  <c r="F63" i="22" l="1"/>
  <c r="G56" i="22"/>
  <c r="G64" i="12"/>
  <c r="G63" i="12"/>
  <c r="F64" i="2"/>
  <c r="G55" i="2"/>
  <c r="F56" i="2"/>
  <c r="F63" i="2"/>
  <c r="G6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35433-A185-488E-9E27-2BE19841A6CA}" keepAlive="1" name="ModelConnection_DatiEsterni_1" description="Modello di dati" type="5" refreshedVersion="8" minRefreshableVersion="5" saveData="1">
    <dbPr connection="Data Model Connection" command="A_8_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1405884-8351-43AB-9E75-E835D363B712}" keepAlive="1" name="Query - A_12_1000" description="Connessione alla query 'A_12_1000' nella cartella di lavoro." type="5" refreshedVersion="8" background="1" saveData="1">
    <dbPr connection="Provider=Microsoft.Mashup.OleDb.1;Data Source=$Workbook$;Location=A_12_1000;Extended Properties=&quot;&quot;" command="SELECT * FROM [A_12_1000]"/>
  </connection>
  <connection id="3" xr16:uid="{B5A55F0D-DDC8-41AE-AA20-44C6A0A70C28}" keepAlive="1" name="Query - A_12_2" description="Connessione alla query 'A_12_2' nella cartella di lavoro." type="5" refreshedVersion="8" background="1" saveData="1">
    <dbPr connection="Provider=Microsoft.Mashup.OleDb.1;Data Source=$Workbook$;Location=A_12_2;Extended Properties=&quot;&quot;" command="SELECT * FROM [A_12_2]"/>
  </connection>
  <connection id="4" xr16:uid="{8D99E4E5-CA1F-4D65-8660-3B6360072CBF}" keepAlive="1" name="Query - A_12_20" description="Connessione alla query 'A_12_20' nella cartella di lavoro." type="5" refreshedVersion="8" background="1" saveData="1">
    <dbPr connection="Provider=Microsoft.Mashup.OleDb.1;Data Source=$Workbook$;Location=A_12_20;Extended Properties=&quot;&quot;" command="SELECT * FROM [A_12_20]"/>
  </connection>
  <connection id="5" xr16:uid="{A18A28EF-9B78-4DF0-887E-1004B23E91E3}" keepAlive="1" name="Query - A_12_5" description="Connessione alla query 'A_12_5' nella cartella di lavoro." type="5" refreshedVersion="8" background="1" saveData="1">
    <dbPr connection="Provider=Microsoft.Mashup.OleDb.1;Data Source=$Workbook$;Location=A_12_5;Extended Properties=&quot;&quot;" command="SELECT * FROM [A_12_5]"/>
  </connection>
  <connection id="6" xr16:uid="{02C73738-DECC-406F-AE00-DEA6F03A9ED8}" keepAlive="1" name="Query - A_12_5 (2)" description="Connection to the 'A_12_5 (2)' query in the workbook." type="5" refreshedVersion="8" background="1" saveData="1">
    <dbPr connection="Provider=Microsoft.Mashup.OleDb.1;Data Source=$Workbook$;Location=&quot;A_12_5 (2)&quot;;Extended Properties=&quot;&quot;" command="SELECT * FROM [A_12_5 (2)]"/>
  </connection>
  <connection id="7" xr16:uid="{A5261B91-8A66-4683-A1BC-375924FE8B93}" keepAlive="1" name="Query - A_12_50" description="Connessione alla query 'A_12_50' nella cartella di lavoro." type="5" refreshedVersion="8" background="1" saveData="1">
    <dbPr connection="Provider=Microsoft.Mashup.OleDb.1;Data Source=$Workbook$;Location=A_12_50;Extended Properties=&quot;&quot;" command="SELECT * FROM [A_12_50]"/>
  </connection>
  <connection id="8" xr16:uid="{585894BE-2E4C-4CD2-AF05-94D645B7D2A0}" keepAlive="1" name="Query - A_16_1000" description="Connessione alla query 'A_16_1000' nella cartella di lavoro." type="5" refreshedVersion="8" background="1" saveData="1">
    <dbPr connection="Provider=Microsoft.Mashup.OleDb.1;Data Source=$Workbook$;Location=A_16_1000;Extended Properties=&quot;&quot;" command="SELECT * FROM [A_16_1000]"/>
  </connection>
  <connection id="9" xr16:uid="{1259058E-04DE-49E3-9607-F52396059AD4}" keepAlive="1" name="Query - A_16_2" description="Connessione alla query 'A_16_2' nella cartella di lavoro." type="5" refreshedVersion="8" background="1" saveData="1">
    <dbPr connection="Provider=Microsoft.Mashup.OleDb.1;Data Source=$Workbook$;Location=A_16_2;Extended Properties=&quot;&quot;" command="SELECT * FROM [A_16_2]"/>
  </connection>
  <connection id="10" xr16:uid="{349BA7B6-1323-4903-A526-F38B1B53478D}" keepAlive="1" name="Query - A_16_20" description="Connessione alla query 'A_16_20' nella cartella di lavoro." type="5" refreshedVersion="8" background="1" saveData="1">
    <dbPr connection="Provider=Microsoft.Mashup.OleDb.1;Data Source=$Workbook$;Location=A_16_20;Extended Properties=&quot;&quot;" command="SELECT * FROM [A_16_20]"/>
  </connection>
  <connection id="11" xr16:uid="{846908F5-CAF4-46BC-A05B-14D39CF922FE}" keepAlive="1" name="Query - A_16_5" description="Connessione alla query 'A_16_5' nella cartella di lavoro." type="5" refreshedVersion="8" background="1" saveData="1">
    <dbPr connection="Provider=Microsoft.Mashup.OleDb.1;Data Source=$Workbook$;Location=A_16_5;Extended Properties=&quot;&quot;" command="SELECT * FROM [A_16_5]"/>
  </connection>
  <connection id="12" xr16:uid="{E8BEC40F-E06D-4DC4-9249-B15EB2ECA0ED}" keepAlive="1" name="Query - A_16_50" description="Connessione alla query 'A_16_50' nella cartella di lavoro." type="5" refreshedVersion="8" background="1" saveData="1">
    <dbPr connection="Provider=Microsoft.Mashup.OleDb.1;Data Source=$Workbook$;Location=A_16_50;Extended Properties=&quot;&quot;" command="SELECT * FROM [A_16_50]"/>
  </connection>
  <connection id="13" xr16:uid="{574675BC-E7BC-40E9-9497-142E45423FC1}" keepAlive="1" name="Query - A_20_2" description="Connessione alla query 'A_20_2' nella cartella di lavoro." type="5" refreshedVersion="8" background="1" saveData="1">
    <dbPr connection="Provider=Microsoft.Mashup.OleDb.1;Data Source=$Workbook$;Location=A_20_2;Extended Properties=&quot;&quot;" command="SELECT * FROM [A_20_2]"/>
  </connection>
  <connection id="14" xr16:uid="{CF5A79A7-43D5-4E90-AE75-2A683D67AC72}" keepAlive="1" name="Query - A_20_20" description="Connessione alla query 'A_20_20' nella cartella di lavoro." type="5" refreshedVersion="8" background="1" saveData="1">
    <dbPr connection="Provider=Microsoft.Mashup.OleDb.1;Data Source=$Workbook$;Location=A_20_20;Extended Properties=&quot;&quot;" command="SELECT * FROM [A_20_20]"/>
  </connection>
  <connection id="15" xr16:uid="{9FB27B43-6152-4875-AD8C-10F4FD6B19C4}" keepAlive="1" name="Query - A_20_5" description="Connessione alla query 'A_20_5' nella cartella di lavoro." type="5" refreshedVersion="8" background="1" saveData="1">
    <dbPr connection="Provider=Microsoft.Mashup.OleDb.1;Data Source=$Workbook$;Location=A_20_5;Extended Properties=&quot;&quot;" command="SELECT * FROM [A_20_5]"/>
  </connection>
  <connection id="16" xr16:uid="{8C0FCB13-4167-40B7-A80F-932DB426767F}" keepAlive="1" name="Query - A_20_50" description="Connessione alla query 'A_20_50' nella cartella di lavoro." type="5" refreshedVersion="8" background="1" saveData="1">
    <dbPr connection="Provider=Microsoft.Mashup.OleDb.1;Data Source=$Workbook$;Location=A_20_50;Extended Properties=&quot;&quot;" command="SELECT * FROM [A_20_50]"/>
  </connection>
  <connection id="17" xr16:uid="{4033327C-3A4F-406B-83AA-C00B4907F98D}" keepAlive="1" name="Query - A_24_1000" description="Connessione alla query 'A_24_1000' nella cartella di lavoro." type="5" refreshedVersion="8" background="1" saveData="1">
    <dbPr connection="Provider=Microsoft.Mashup.OleDb.1;Data Source=$Workbook$;Location=A_24_1000;Extended Properties=&quot;&quot;" command="SELECT * FROM [A_24_1000]"/>
  </connection>
  <connection id="18" xr16:uid="{A21A0560-A942-41E0-995A-F42BDA95DEBB}" keepAlive="1" name="Query - A_24_2" description="Connessione alla query 'A_24_2' nella cartella di lavoro." type="5" refreshedVersion="8" background="1" saveData="1">
    <dbPr connection="Provider=Microsoft.Mashup.OleDb.1;Data Source=$Workbook$;Location=A_24_2;Extended Properties=&quot;&quot;" command="SELECT * FROM [A_24_2]"/>
  </connection>
  <connection id="19" xr16:uid="{CE3FF26D-76E7-40BE-91AE-126453585D92}" keepAlive="1" name="Query - A_24_20" description="Connessione alla query 'A_24_20' nella cartella di lavoro." type="5" refreshedVersion="8" background="1" saveData="1">
    <dbPr connection="Provider=Microsoft.Mashup.OleDb.1;Data Source=$Workbook$;Location=A_24_20;Extended Properties=&quot;&quot;" command="SELECT * FROM [A_24_20]"/>
  </connection>
  <connection id="20" xr16:uid="{117DCC76-FAC0-47B0-A243-EFDEE5E1CD83}" keepAlive="1" name="Query - A_24_5" description="Connessione alla query 'A_24_5' nella cartella di lavoro." type="5" refreshedVersion="8" background="1" saveData="1">
    <dbPr connection="Provider=Microsoft.Mashup.OleDb.1;Data Source=$Workbook$;Location=A_24_5;Extended Properties=&quot;&quot;" command="SELECT * FROM [A_24_5]"/>
  </connection>
  <connection id="21" xr16:uid="{412F1EB6-B441-4E8E-B780-EA41130ADC85}" keepAlive="1" name="Query - A_24_50" description="Connessione alla query 'A_24_50' nella cartella di lavoro." type="5" refreshedVersion="8" background="1" saveData="1">
    <dbPr connection="Provider=Microsoft.Mashup.OleDb.1;Data Source=$Workbook$;Location=A_24_50;Extended Properties=&quot;&quot;" command="SELECT * FROM [A_24_50]"/>
  </connection>
  <connection id="22" xr16:uid="{FA8E15CA-43CC-4C42-92BB-533A221AE892}" keepAlive="1" name="Query - A_8_1000" description="Connessione alla query 'A_8_1000' nella cartella di lavoro." type="5" refreshedVersion="8" background="1" saveData="1">
    <dbPr connection="Provider=Microsoft.Mashup.OleDb.1;Data Source=$Workbook$;Location=A_8_1000;Extended Properties=&quot;&quot;" command="SELECT * FROM [A_8_1000]"/>
  </connection>
  <connection id="23" xr16:uid="{AEF6E55F-0823-4BBA-AFB6-3B1BF725AE35}" name="Query - A_8_2" description="Connessione alla query 'A_8_2' nella cartella di lavoro." type="100" refreshedVersion="8" minRefreshableVersion="5">
    <extLst>
      <ext xmlns:x15="http://schemas.microsoft.com/office/spreadsheetml/2010/11/main" uri="{DE250136-89BD-433C-8126-D09CA5730AF9}">
        <x15:connection id="d733037a-81f2-4b12-ab6b-f709bab966c9"/>
      </ext>
    </extLst>
  </connection>
  <connection id="24" xr16:uid="{9CA582AE-4CE3-4A9C-960A-EDE346913C38}" keepAlive="1" name="Query - A_8_2 (2)" description="Connessione alla query 'A_8_2 (2)' nella cartella di lavoro." type="5" refreshedVersion="8" background="1" saveData="1">
    <dbPr connection="Provider=Microsoft.Mashup.OleDb.1;Data Source=$Workbook$;Location=&quot;A_8_2 (2)&quot;;Extended Properties=&quot;&quot;" command="SELECT * FROM [A_8_2 (2)]"/>
  </connection>
  <connection id="25" xr16:uid="{3C955EE2-4301-4BA6-8A07-7A052878AACF}" keepAlive="1" name="Query - A_8_50" description="Connessione alla query 'A_8_50' nella cartella di lavoro." type="5" refreshedVersion="8" background="1" saveData="1">
    <dbPr connection="Provider=Microsoft.Mashup.OleDb.1;Data Source=$Workbook$;Location=A_8_50;Extended Properties=&quot;&quot;" command="SELECT * FROM [A_8_50]"/>
  </connection>
  <connection id="26" xr16:uid="{0A62FC09-AD79-47A1-A859-595F3F4404E8}" keepAlive="1" name="Query - T_12_1000" description="Connessione alla query 'T_12_1000' nella cartella di lavoro." type="5" refreshedVersion="8" background="1" saveData="1">
    <dbPr connection="Provider=Microsoft.Mashup.OleDb.1;Data Source=$Workbook$;Location=T_12_1000;Extended Properties=&quot;&quot;" command="SELECT * FROM [T_12_1000]"/>
  </connection>
  <connection id="27" xr16:uid="{1B398231-CFE3-4E6B-90F7-4EE0B4BAFDFB}" keepAlive="1" name="Query - T_12_2" description="Connessione alla query 'T_12_2' nella cartella di lavoro." type="5" refreshedVersion="8" background="1" saveData="1">
    <dbPr connection="Provider=Microsoft.Mashup.OleDb.1;Data Source=$Workbook$;Location=T_12_2;Extended Properties=&quot;&quot;" command="SELECT * FROM [T_12_2]"/>
  </connection>
  <connection id="28" xr16:uid="{551C4769-76AA-4BA4-B1F2-7DB9C166BBCB}" keepAlive="1" name="Query - T_12_20" description="Connessione alla query 'T_12_20' nella cartella di lavoro." type="5" refreshedVersion="8" background="1" saveData="1">
    <dbPr connection="Provider=Microsoft.Mashup.OleDb.1;Data Source=$Workbook$;Location=T_12_20;Extended Properties=&quot;&quot;" command="SELECT * FROM [T_12_20]"/>
  </connection>
  <connection id="29" xr16:uid="{8F68F43C-D955-40FB-A5FD-D7D5EF55D1AF}" keepAlive="1" name="Query - T_12_5" description="Connessione alla query 'T_12_5' nella cartella di lavoro." type="5" refreshedVersion="8" background="1" saveData="1">
    <dbPr connection="Provider=Microsoft.Mashup.OleDb.1;Data Source=$Workbook$;Location=T_12_5;Extended Properties=&quot;&quot;" command="SELECT * FROM [T_12_5]"/>
  </connection>
  <connection id="30" xr16:uid="{E123C7DE-2132-44EC-882A-1C454AA212FD}" keepAlive="1" name="Query - T_12_50" description="Connessione alla query 'T_12_50' nella cartella di lavoro." type="5" refreshedVersion="8" background="1" saveData="1">
    <dbPr connection="Provider=Microsoft.Mashup.OleDb.1;Data Source=$Workbook$;Location=T_12_50;Extended Properties=&quot;&quot;" command="SELECT * FROM [T_12_50]"/>
  </connection>
  <connection id="31" xr16:uid="{1A1C274C-23D4-43F1-AE33-2DC29C4296D8}" keepAlive="1" name="Query - T_16_1000" description="Connessione alla query 'T_16_1000' nella cartella di lavoro." type="5" refreshedVersion="8" background="1" saveData="1">
    <dbPr connection="Provider=Microsoft.Mashup.OleDb.1;Data Source=$Workbook$;Location=T_16_1000;Extended Properties=&quot;&quot;" command="SELECT * FROM [T_16_1000]"/>
  </connection>
  <connection id="32" xr16:uid="{22C5BC44-B7BE-4279-B174-8F5B903B8CDB}" keepAlive="1" name="Query - T_16_2" description="Connessione alla query 'T_16_2' nella cartella di lavoro." type="5" refreshedVersion="8" background="1" saveData="1">
    <dbPr connection="Provider=Microsoft.Mashup.OleDb.1;Data Source=$Workbook$;Location=T_16_2;Extended Properties=&quot;&quot;" command="SELECT * FROM [T_16_2]"/>
  </connection>
  <connection id="33" xr16:uid="{1318C60F-795B-4E02-8923-0B96C392DB4E}" keepAlive="1" name="Query - T_16_20" description="Connessione alla query 'T_16_20' nella cartella di lavoro." type="5" refreshedVersion="8" background="1" saveData="1">
    <dbPr connection="Provider=Microsoft.Mashup.OleDb.1;Data Source=$Workbook$;Location=T_16_20;Extended Properties=&quot;&quot;" command="SELECT * FROM [T_16_20]"/>
  </connection>
  <connection id="34" xr16:uid="{FA41AB0B-E403-4A0C-B346-7C72B2FF7573}" keepAlive="1" name="Query - T_16_5" description="Connessione alla query 'T_16_5' nella cartella di lavoro." type="5" refreshedVersion="8" background="1" saveData="1">
    <dbPr connection="Provider=Microsoft.Mashup.OleDb.1;Data Source=$Workbook$;Location=T_16_5;Extended Properties=&quot;&quot;" command="SELECT * FROM [T_16_5]"/>
  </connection>
  <connection id="35" xr16:uid="{FC550830-4EA6-45AE-A395-0F8E91B0ADA5}" keepAlive="1" name="Query - T_16_50" description="Connessione alla query 'T_16_50' nella cartella di lavoro." type="5" refreshedVersion="8" background="1" saveData="1">
    <dbPr connection="Provider=Microsoft.Mashup.OleDb.1;Data Source=$Workbook$;Location=T_16_50;Extended Properties=&quot;&quot;" command="SELECT * FROM [T_16_50]"/>
  </connection>
  <connection id="36" xr16:uid="{95AF090F-5B5B-4002-A9C1-41FAED6D9862}" keepAlive="1" name="Query - T_20_1000" description="Connessione alla query 'T_20_1000' nella cartella di lavoro." type="5" refreshedVersion="8" background="1" saveData="1">
    <dbPr connection="Provider=Microsoft.Mashup.OleDb.1;Data Source=$Workbook$;Location=T_20_1000;Extended Properties=&quot;&quot;" command="SELECT * FROM [T_20_1000]"/>
  </connection>
  <connection id="37" xr16:uid="{4E1DE990-7873-479E-AAA3-A1CF70DD84E5}" keepAlive="1" name="Query - T_20_1000 (2)" description="Connessione alla query 'T_20_1000 (2)' nella cartella di lavoro." type="5" refreshedVersion="8" background="1" saveData="1">
    <dbPr connection="Provider=Microsoft.Mashup.OleDb.1;Data Source=$Workbook$;Location=&quot;T_20_1000 (2)&quot;;Extended Properties=&quot;&quot;" command="SELECT * FROM [T_20_1000 (2)]"/>
  </connection>
  <connection id="38" xr16:uid="{F4A3C9CA-C002-43BC-85B8-9D91D252C25E}" keepAlive="1" name="Query - T_20_2" description="Connessione alla query 'T_20_2' nella cartella di lavoro." type="5" refreshedVersion="8" background="1" saveData="1">
    <dbPr connection="Provider=Microsoft.Mashup.OleDb.1;Data Source=$Workbook$;Location=T_20_2;Extended Properties=&quot;&quot;" command="SELECT * FROM [T_20_2]"/>
  </connection>
  <connection id="39" xr16:uid="{F54A8797-9416-4D31-9F36-DA17A20AD3FE}" keepAlive="1" name="Query - T_20_20" description="Connessione alla query 'T_20_20' nella cartella di lavoro." type="5" refreshedVersion="8" background="1" saveData="1">
    <dbPr connection="Provider=Microsoft.Mashup.OleDb.1;Data Source=$Workbook$;Location=T_20_20;Extended Properties=&quot;&quot;" command="SELECT * FROM [T_20_20]"/>
  </connection>
  <connection id="40" xr16:uid="{DF6F1E4A-DFE5-4AF3-803D-F6AF326DD77E}" keepAlive="1" name="Query - T_20_5" description="Connessione alla query 'T_20_5' nella cartella di lavoro." type="5" refreshedVersion="8" background="1" saveData="1">
    <dbPr connection="Provider=Microsoft.Mashup.OleDb.1;Data Source=$Workbook$;Location=T_20_5;Extended Properties=&quot;&quot;" command="SELECT * FROM [T_20_5]"/>
  </connection>
  <connection id="41" xr16:uid="{41F9178E-8149-4FEA-9E1D-F7C2CC8140E3}" keepAlive="1" name="Query - T_20_50" description="Connessione alla query 'T_20_50' nella cartella di lavoro." type="5" refreshedVersion="8" background="1" saveData="1">
    <dbPr connection="Provider=Microsoft.Mashup.OleDb.1;Data Source=$Workbook$;Location=T_20_50;Extended Properties=&quot;&quot;" command="SELECT * FROM [T_20_50]"/>
  </connection>
  <connection id="42" xr16:uid="{E715A2EA-315E-40CD-AAAE-5D0B542633BB}" keepAlive="1" name="Query - T_24_1000" description="Connessione alla query 'T_24_1000' nella cartella di lavoro." type="5" refreshedVersion="8" background="1" saveData="1">
    <dbPr connection="Provider=Microsoft.Mashup.OleDb.1;Data Source=$Workbook$;Location=T_24_1000;Extended Properties=&quot;&quot;" command="SELECT * FROM [T_24_1000]"/>
  </connection>
  <connection id="43" xr16:uid="{DA2CCB1C-BBD9-430F-9ED2-EA717D605035}" keepAlive="1" name="Query - T_24_2 (2)" description="Connessione alla query 'T_24_2 (2)' nella cartella di lavoro." type="5" refreshedVersion="8" background="1" saveData="1">
    <dbPr connection="Provider=Microsoft.Mashup.OleDb.1;Data Source=$Workbook$;Location=&quot;T_24_2 (2)&quot;;Extended Properties=&quot;&quot;" command="SELECT * FROM [T_24_2 (2)]"/>
  </connection>
  <connection id="44" xr16:uid="{BDA2E74D-B8AD-4386-9EEC-0662ED2E52E3}" keepAlive="1" name="Query - T_24_20" description="Connessione alla query 'T_24_20' nella cartella di lavoro." type="5" refreshedVersion="8" background="1" saveData="1">
    <dbPr connection="Provider=Microsoft.Mashup.OleDb.1;Data Source=$Workbook$;Location=T_24_20;Extended Properties=&quot;&quot;" command="SELECT * FROM [T_24_20]"/>
  </connection>
  <connection id="45" xr16:uid="{698054A4-E0C9-4E1D-9E14-8B825797AD0A}" keepAlive="1" name="Query - T_24_5" description="Connessione alla query 'T_24_5' nella cartella di lavoro." type="5" refreshedVersion="8" background="1" saveData="1">
    <dbPr connection="Provider=Microsoft.Mashup.OleDb.1;Data Source=$Workbook$;Location=T_24_5;Extended Properties=&quot;&quot;" command="SELECT * FROM [T_24_5]"/>
  </connection>
  <connection id="46" xr16:uid="{DF8AEA30-3E1C-48F7-830A-A75E6A47B111}" keepAlive="1" name="Query - T_24_50" description="Connessione alla query 'T_24_50' nella cartella di lavoro." type="5" refreshedVersion="8" background="1" saveData="1">
    <dbPr connection="Provider=Microsoft.Mashup.OleDb.1;Data Source=$Workbook$;Location=T_24_50;Extended Properties=&quot;&quot;" command="SELECT * FROM [T_24_50]"/>
  </connection>
  <connection id="47" xr16:uid="{CE41C355-0581-4F84-B044-165B4FBBA417}" keepAlive="1" name="Query - T_8_1000" description="Connessione alla query 'T_8_1000' nella cartella di lavoro." type="5" refreshedVersion="8" background="1" saveData="1">
    <dbPr connection="Provider=Microsoft.Mashup.OleDb.1;Data Source=$Workbook$;Location=T_8_1000;Extended Properties=&quot;&quot;" command="SELECT * FROM [T_8_1000]"/>
  </connection>
  <connection id="48" xr16:uid="{844D073B-5458-4921-BC58-B71E6E0A32A3}" keepAlive="1" name="Query - T_8_1000 (2)" description="Connection to the 'T_8_1000 (2)' query in the workbook." type="5" refreshedVersion="8" background="1" saveData="1">
    <dbPr connection="Provider=Microsoft.Mashup.OleDb.1;Data Source=$Workbook$;Location=&quot;T_8_1000 (2)&quot;;Extended Properties=&quot;&quot;" command="SELECT * FROM [T_8_1000 (2)]"/>
  </connection>
  <connection id="49" xr16:uid="{A1A880C9-F081-4A40-81FF-188611FE943F}" keepAlive="1" name="Query - T_8_20" description="Connessione alla query 'T_8_20' nella cartella di lavoro." type="5" refreshedVersion="8" background="1" saveData="1">
    <dbPr connection="Provider=Microsoft.Mashup.OleDb.1;Data Source=$Workbook$;Location=T_8_20;Extended Properties=&quot;&quot;" command="SELECT * FROM [T_8_20]"/>
  </connection>
  <connection id="50" xr16:uid="{A5986E5B-84FB-4477-8088-5A3C25195BE9}" keepAlive="1" name="Query - T_8_5" description="Connessione alla query 'T_8_5' nella cartella di lavoro." type="5" refreshedVersion="8" background="1" saveData="1">
    <dbPr connection="Provider=Microsoft.Mashup.OleDb.1;Data Source=$Workbook$;Location=T_8_5;Extended Properties=&quot;&quot;" command="SELECT * FROM [T_8_5]"/>
  </connection>
  <connection id="51" xr16:uid="{ABF92C54-7F59-4F44-A279-EAA737B94E6B}" keepAlive="1" name="Query - T_8_50" description="Connessione alla query 'T_8_50' nella cartella di lavoro." type="5" refreshedVersion="8" background="1" saveData="1">
    <dbPr connection="Provider=Microsoft.Mashup.OleDb.1;Data Source=$Workbook$;Location=T_8_50;Extended Properties=&quot;&quot;" command="SELECT * FROM [T_8_50]"/>
  </connection>
  <connection id="52" xr16:uid="{974F3051-FA8C-4DE7-8A42-3CD3F8412434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<sst xmlns="http://schemas.openxmlformats.org/spreadsheetml/2006/main" count="722" uniqueCount="23">
  <si>
    <t>z_(alpha/2)/sqrt(n)</t>
  </si>
  <si>
    <t>AVGQLen:mean</t>
  </si>
  <si>
    <t>ThroughputStat:last</t>
  </si>
  <si>
    <t>T_mean</t>
  </si>
  <si>
    <t>S</t>
  </si>
  <si>
    <t>n (90%, r=0.1)</t>
  </si>
  <si>
    <t>n (95%, r=0.05)</t>
  </si>
  <si>
    <t>n (99%, r=0.01)</t>
  </si>
  <si>
    <t>Qlen</t>
  </si>
  <si>
    <t xml:space="preserve"> Throughput</t>
  </si>
  <si>
    <t>z_alpha/2</t>
  </si>
  <si>
    <t>z_alpha/2 * S</t>
  </si>
  <si>
    <t>r*T_mean</t>
  </si>
  <si>
    <t>Intermediate results for 99% case</t>
  </si>
  <si>
    <t>Queue Length</t>
  </si>
  <si>
    <t>Intermediate results for 99% case (Throughput)</t>
  </si>
  <si>
    <t>alpha</t>
  </si>
  <si>
    <t>confidence level</t>
  </si>
  <si>
    <t>(z_alpha/2 * S)/sqrt(n)</t>
  </si>
  <si>
    <t>THROUGHPUT C.I</t>
  </si>
  <si>
    <t>Lower limit</t>
  </si>
  <si>
    <t>Upper limit</t>
  </si>
  <si>
    <t>QUEUE LENGTH C.I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</si>
</sst>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0" fillId="3" borderId="2" xfId="0" applyFill="1" applyBorder="1"/>
    <xf numFmtId="0" fontId="0" fillId="0" borderId="2" xfId="0" applyBorder="1"/>
    <xf numFmtId="0" fontId="1" fillId="2" borderId="2" xfId="0" applyFont="1" applyFill="1" applyBorder="1"/>
    <xf numFmtId="0" fontId="0" fillId="3" borderId="3" xfId="0" applyFill="1" applyBorder="1"/>
    <xf numFmtId="0" fontId="0" fillId="0" borderId="3" xfId="0" applyBorder="1"/>
    <xf numFmtId="0" fontId="5" fillId="0" borderId="0" xfId="0" applyFon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3" fillId="0" borderId="0" xfId="0" applyFont="1" applyAlignment="1">
      <alignment horizontal="center" shrinkToFit="1"/>
    </xf>
    <xf numFmtId="0" fontId="5" fillId="0" borderId="0" xfId="0" applyFont="1" applyAlignment="1">
      <alignment shrinkToFit="1"/>
    </xf>
    <xf numFmtId="164" fontId="0" fillId="0" borderId="0" xfId="0" applyNumberFormat="1" applyAlignment="1">
      <alignment shrinkToFit="1"/>
    </xf>
    <xf numFmtId="0" fontId="6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shrinkToFit="1"/>
    </xf>
    <xf numFmtId="0" fontId="7" fillId="0" borderId="4" xfId="0" applyFont="1" applyBorder="1"/>
    <xf numFmtId="0" fontId="8" fillId="0" borderId="4" xfId="0" applyFont="1" applyBorder="1"/>
    <xf numFmtId="165" fontId="0" fillId="0" borderId="4" xfId="0" applyNumberFormat="1" applyBorder="1"/>
    <xf numFmtId="0" fontId="0" fillId="3" borderId="3" xfId="0" applyFill="1" applyBorder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/>
    </xf>
  </cellXfs>
  <cellStyles count="1">
    <cellStyle name="Normale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0" xr16:uid="{EAD4E687-D82E-497B-8FFB-E55AC38C5C86}" autoFormatId="16" applyNumberFormats="0" applyBorderFormats="0" applyFontFormats="0" applyPatternFormats="0" applyAlignmentFormats="0" applyWidthHeightFormats="0">
  <queryTableRefresh nextId="3">
    <queryTableFields count="1">
      <queryTableField id="1" name="ThroughputStat:last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connectionId="1" xr16:uid="{3DCB9629-A52F-4587-9C79-052522D38EB2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  <extLst>
    <ext xmlns:x15="http://schemas.microsoft.com/office/spreadsheetml/2010/11/main" uri="{883FBD77-0823-4a55-B5E3-86C4891E6966}">
      <x15:queryTable sourceDataName="Query - A_8_2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9" xr16:uid="{77573F00-D7E7-4178-9BEB-1569123BB302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5" xr16:uid="{05078EF9-E7F7-449A-962A-D61EA3C64185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51" xr16:uid="{DEE1A6E3-A513-40B0-866F-21746DE480D2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2" xr16:uid="{8B839FE9-6041-4194-9F49-6A5F0027D4E2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48" xr16:uid="{0BDAA40C-0E5A-49EC-B7BF-5CABF18EAD96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3" xr16:uid="{06286A4E-A05E-4375-A6D9-61943625914E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7" xr16:uid="{608A60E1-33F8-4362-BDF5-D37634CB64A1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9" xr16:uid="{5C09B005-E9A2-47FB-9163-6478E63969BF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6" xr16:uid="{19D771C5-B43E-441A-A845-10D55D3D7C1B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4" xr16:uid="{AB4D7912-95CA-4673-90F9-274AA1320088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8" xr16:uid="{FE7B3EB0-0E6D-4590-997A-780775EA7B72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7" xr16:uid="{710531F8-E198-465E-85D4-7963ED80F7D5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0" xr16:uid="{FC6D224C-3CA4-4DFD-AC96-7672D8979999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567092FD-2A0D-45BA-8B2D-EDCD7B0B9BF1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6" xr16:uid="{B5767584-F6B9-4893-B3D6-B6DA275123E2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9" xr16:uid="{0B3AEA1B-1BBC-43A9-A9DF-997A1957C449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2" xr16:uid="{99EFC234-703C-4700-A88E-584FDAAF3FC9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1" xr16:uid="{EF768C60-BCB5-4865-AA9B-3387FE40E96B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4" xr16:uid="{1189932E-BE12-4133-88F2-3260845744BF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0" xr16:uid="{A949D3A1-F495-45D3-BF55-B31552FFC44E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3" xr16:uid="{96916B49-59EA-4677-B2CC-F3CC0125BA3C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2" xr16:uid="{F5542300-A7AE-4167-B48A-5E9E706A6506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5" xr16:uid="{10F9B1D1-BDED-48B7-9EF7-BC9A6E43070C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8" xr16:uid="{7B98C5A0-2168-4B72-8204-A1D4280D0D85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1" xr16:uid="{A7ADD287-A4AB-4531-8B79-C8384B346AC8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3" xr16:uid="{4C297E51-E9C7-4E3B-9917-F4C425B35D32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8" xr16:uid="{1F722580-A06C-4251-AA4A-170AFCF4E0D3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5" xr16:uid="{6219D382-DB47-46EF-93C7-9B283C00A09B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0" xr16:uid="{A907AFB1-B9F8-4A0D-BF13-0CC44688EF20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4" xr16:uid="{512F52D0-4B05-4560-90FA-3E9DCBA29FD2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9" xr16:uid="{6A0B917A-5DB9-44F2-BFE5-4AD66B48BAE1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6" xr16:uid="{AADC078E-3B33-45BD-B0B6-F6B5C3672B26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1" xr16:uid="{2B596447-6415-4A3D-9642-E1F01BAA94BD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7" xr16:uid="{6A949CEC-1DA3-4EA3-814A-FBDC5027071F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8" xr16:uid="{AE3A777D-0E40-4113-9AE5-A45FBBAEBD4F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3" xr16:uid="{F9967747-F143-4126-B81E-85642890C46C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0" xr16:uid="{8C771516-949E-4B24-9052-44282F92E4F4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5" xr16:uid="{9A4783B3-D94D-4E67-B751-5E145F53560A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9" xr16:uid="{540A31C8-EF68-4AB2-9E16-E74DB26040CB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4" xr16:uid="{520FFFE8-BB12-48EC-BE35-A98FC74AFE02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1" xr16:uid="{2008DED3-868E-4937-AB2F-AB3260D54155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6" xr16:uid="{396EF03C-43A4-4166-9CAB-1A291628C8E5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7" xr16:uid="{A0B5C71B-4974-49CE-9CC6-74C117145191}" autoFormatId="16" applyNumberFormats="0" applyBorderFormats="0" applyFontFormats="0" applyPatternFormats="0" applyAlignmentFormats="0" applyWidthHeightFormats="0">
  <queryTableRefresh nextId="2">
    <queryTableFields count="1">
      <queryTableField id="1" name="AVGQLen:mean" tableColumnId="1"/>
    </queryTableFields>
  </queryTableRefresh>
</queryTable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2" xr16:uid="{0D7182CF-2AFE-45EA-89A0-146E4CD49E05}" autoFormatId="16" applyNumberFormats="0" applyBorderFormats="0" applyFontFormats="0" applyPatternFormats="0" applyAlignmentFormats="0" applyWidthHeightFormats="0">
  <queryTableRefresh nextId="2">
    <queryTableFields count="1">
      <queryTableField id="1" name="ThroughputStat:las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_rels/table4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1.xml"/></Relationships>
</file>

<file path=xl/tables/_rels/table4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2.xml"/></Relationships>
</file>

<file path=xl/tables/_rels/table4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3.xml"/></Relationships>
</file>

<file path=xl/tables/_rels/table4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4.xml"/></Relationships>
</file>

<file path=xl/tables/_rels/table4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5.xml"/></Relationships>
</file>

<file path=xl/tables/_rels/table4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D95F35-CD9C-4E19-A7FB-7F5581E0966E}" name="T_8_5" displayName="T_8_5" ref="B1:B36" tableType="queryTable" totalsRowShown="0">
  <autoFilter ref="B1:B36" xr:uid="{3DD95F35-CD9C-4E19-A7FB-7F5581E0966E}"/>
  <tableColumns count="1">
    <tableColumn id="1" xr3:uid="{A269AC9B-35D5-4BB2-A7E4-DB413FA237FB}" uniqueName="1" name="ThroughputStat:last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0EB442-E020-4472-A6AC-CB26761F8C40}" name="A_8_5" displayName="A_8_5" ref="A1:A36" totalsRowShown="0">
  <autoFilter ref="A1:A36" xr:uid="{950EB442-E020-4472-A6AC-CB26761F8C40}"/>
  <tableColumns count="1">
    <tableColumn id="3" xr3:uid="{012C88AD-951A-40D2-BBA5-B3B75D0BBB6A}" name="Queue Length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B4F27F-D8AB-4E70-AA19-45D755646D15}" name="A_8_2" displayName="A_8_2" ref="A1:A36" tableType="queryTable" totalsRowShown="0">
  <autoFilter ref="A1:A36" xr:uid="{FFB4F27F-D8AB-4E70-AA19-45D755646D15}"/>
  <tableColumns count="1">
    <tableColumn id="1" xr3:uid="{432F84E5-C777-4825-9E95-920F2FFAC3E1}" uniqueName="1" name="AVGQLen:mea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92B2DF-D2B7-4F6D-B513-EAD1332614CE}" name="T_8_20" displayName="T_8_20" ref="B1:B36" tableType="queryTable" totalsRowShown="0">
  <autoFilter ref="B1:B36" xr:uid="{7C92B2DF-D2B7-4F6D-B513-EAD1332614CE}"/>
  <tableColumns count="1">
    <tableColumn id="1" xr3:uid="{998CD4D0-3061-46A8-BBFF-CE5D364E8C60}" uniqueName="1" name="ThroughputStat:last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769130-4A07-4A5D-A4A1-4A5FA7AFB62B}" name="A_8_50" displayName="A_8_50" ref="A1:A36" tableType="queryTable" totalsRowShown="0" headerRowDxfId="2" dataDxfId="1">
  <autoFilter ref="A1:A36" xr:uid="{64769130-4A07-4A5D-A4A1-4A5FA7AFB62B}"/>
  <tableColumns count="1">
    <tableColumn id="1" xr3:uid="{5D6E964B-F236-42D6-B3CF-421C906AFFB7}" uniqueName="1" name="AVGQLen:mean" queryTableFieldId="1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BD7B2B-5584-4D92-940E-F5657C514140}" name="T_8_50" displayName="T_8_50" ref="B1:B36" tableType="queryTable" totalsRowShown="0">
  <autoFilter ref="B1:B36" xr:uid="{3FBD7B2B-5584-4D92-940E-F5657C514140}"/>
  <tableColumns count="1">
    <tableColumn id="1" xr3:uid="{E22F40B8-CAF3-4AAC-999D-523BB2A7F4CE}" uniqueName="1" name="ThroughputStat:last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45A33D6-C676-4A60-9DB4-9F77E34CBBEB}" name="A_8_1000" displayName="A_8_1000" ref="A1:A36" tableType="queryTable" totalsRowShown="0">
  <autoFilter ref="A1:A36" xr:uid="{745A33D6-C676-4A60-9DB4-9F77E34CBBEB}"/>
  <tableColumns count="1">
    <tableColumn id="1" xr3:uid="{9E985B0B-B876-4502-B1A8-B707BBF930D4}" uniqueName="1" name="AVGQLen:mean" queryTableField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E77CC-4BBC-40BE-9235-2D39228C3191}" name="T_8_10002" displayName="T_8_10002" ref="B1:B36" tableType="queryTable" totalsRowShown="0">
  <autoFilter ref="B1:B36" xr:uid="{7DBE77CC-4BBC-40BE-9235-2D39228C3191}"/>
  <tableColumns count="1">
    <tableColumn id="1" xr3:uid="{CDB3E356-29D1-4F1E-9BC0-54456E2E7DAF}" uniqueName="1" name="ThroughputStat:last" queryTableFieldId="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FFE243E-3CCF-4896-9D2D-121A8043E6C8}" name="A_12_2" displayName="A_12_2" ref="A1:A36" tableType="queryTable" totalsRowShown="0">
  <autoFilter ref="A1:A36" xr:uid="{CFFE243E-3CCF-4896-9D2D-121A8043E6C8}"/>
  <tableColumns count="1">
    <tableColumn id="1" xr3:uid="{2DE8EA04-5C92-4E18-8586-F6362C258DB6}" uniqueName="1" name="AVGQLen:mean" queryTableFieldId="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4CBA674-F8AD-4134-BDC6-53BEECC30C0B}" name="T_12_2" displayName="T_12_2" ref="B1:B36" tableType="queryTable" totalsRowShown="0">
  <autoFilter ref="B1:B36" xr:uid="{54CBA674-F8AD-4134-BDC6-53BEECC30C0B}"/>
  <tableColumns count="1">
    <tableColumn id="1" xr3:uid="{FA506A18-AA4F-4499-9B20-1910389ECD15}" uniqueName="1" name="ThroughputStat:last" queryTableFieldId="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DDA27B6-3B94-4A61-848E-5B7383DA8F69}" name="T_12_5" displayName="T_12_5" ref="B1:B36" tableType="queryTable" totalsRowShown="0">
  <autoFilter ref="B1:B36" xr:uid="{7DDA27B6-3B94-4A61-848E-5B7383DA8F69}"/>
  <tableColumns count="1">
    <tableColumn id="1" xr3:uid="{EE078482-BEF2-4586-B7A1-31EEE4089322}" uniqueName="1" name="ThroughputStat:last" queryTableFieldId="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B95A3C-5592-4EBA-BEA5-6B5DCCC81792}" name="A_12_53" displayName="A_12_53" ref="A1:A36" tableType="queryTable" totalsRowShown="0">
  <autoFilter ref="A1:A36" xr:uid="{18B95A3C-5592-4EBA-BEA5-6B5DCCC81792}"/>
  <tableColumns count="1">
    <tableColumn id="1" xr3:uid="{60B4E3AA-117D-4F2D-A8FD-024D0DC261D9}" uniqueName="1" name="AVGQLen:mean" queryTableFieldId="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1044034-9E53-4589-992D-3983BB335FDD}" name="A_12_20" displayName="A_12_20" ref="A1:A36" tableType="queryTable" totalsRowShown="0">
  <autoFilter ref="A1:A36" xr:uid="{E1044034-9E53-4589-992D-3983BB335FDD}"/>
  <tableColumns count="1">
    <tableColumn id="1" xr3:uid="{AEC3D965-6B8D-4C01-BE4B-A3FDC80D885C}" uniqueName="1" name="AVGQLen:mean" queryTableFieldId="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A3635EF-B1CA-4B7A-B503-C8721CD0021D}" name="T_12_20" displayName="T_12_20" ref="B1:B36" tableType="queryTable" totalsRowShown="0">
  <autoFilter ref="B1:B36" xr:uid="{6A3635EF-B1CA-4B7A-B503-C8721CD0021D}"/>
  <tableColumns count="1">
    <tableColumn id="1" xr3:uid="{C9B03E83-27CC-4F77-9AC0-1D7CC6E177B4}" uniqueName="1" name="ThroughputStat:last" queryTableFieldId="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226C869-23D3-442D-A48A-FFD63294A3FE}" name="A_12_50" displayName="A_12_50" ref="A1:A36" tableType="queryTable" totalsRowShown="0">
  <autoFilter ref="A1:A36" xr:uid="{1226C869-23D3-442D-A48A-FFD63294A3FE}"/>
  <tableColumns count="1">
    <tableColumn id="1" xr3:uid="{045C759D-19DC-484B-BFCA-C96C164742E7}" uniqueName="1" name="AVGQLen:mean" queryTableFieldId="1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46FE55-1BF3-42DE-A81D-A7A7D4851A48}" name="T_12_50" displayName="T_12_50" ref="B1:B36" tableType="queryTable" totalsRowShown="0">
  <autoFilter ref="B1:B36" xr:uid="{6746FE55-1BF3-42DE-A81D-A7A7D4851A48}"/>
  <tableColumns count="1">
    <tableColumn id="1" xr3:uid="{63729529-1C30-4AA0-8255-E61EE1260157}" uniqueName="1" name="ThroughputStat:last" queryTableFieldId="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0BFC93-E6F1-4544-8A94-FCF0FB1065B8}" name="A_12_1000" displayName="A_12_1000" ref="A1:A36" tableType="queryTable" totalsRowShown="0">
  <autoFilter ref="A1:A36" xr:uid="{060BFC93-E6F1-4544-8A94-FCF0FB1065B8}"/>
  <tableColumns count="1">
    <tableColumn id="1" xr3:uid="{B6A67809-1FD0-4A9D-8CEE-3051EFE8FFFC}" uniqueName="1" name="AVGQLen:mean" queryTableFieldId="1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009FA59-02DE-4BC6-8EC7-D21C2CCD515F}" name="T_12_1000" displayName="T_12_1000" ref="B1:B36" tableType="queryTable" totalsRowShown="0">
  <autoFilter ref="B1:B36" xr:uid="{6009FA59-02DE-4BC6-8EC7-D21C2CCD515F}"/>
  <tableColumns count="1">
    <tableColumn id="1" xr3:uid="{525E1E20-95E4-4CFC-9C7E-8866B6BAF90E}" uniqueName="1" name="ThroughputStat:last" queryTableFieldId="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58B4827-17CF-4B5C-8183-7407F08EC594}" name="A_16_2" displayName="A_16_2" ref="A1:A36" tableType="queryTable" totalsRowShown="0">
  <autoFilter ref="A1:A36" xr:uid="{158B4827-17CF-4B5C-8183-7407F08EC594}"/>
  <tableColumns count="1">
    <tableColumn id="1" xr3:uid="{CAC7AABA-977B-47D1-B816-C375C373B544}" uniqueName="1" name="AVGQLen:mean" queryTableFieldId="1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862DE79-99A3-41A4-9822-527BAD435E5F}" name="T_16_2" displayName="T_16_2" ref="B1:B36" tableType="queryTable" totalsRowShown="0">
  <autoFilter ref="B1:B36" xr:uid="{A862DE79-99A3-41A4-9822-527BAD435E5F}"/>
  <tableColumns count="1">
    <tableColumn id="1" xr3:uid="{CB879F44-79DC-4B22-9141-7A09042E710D}" uniqueName="1" name="ThroughputStat:last" queryTableFieldId="1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EB2E91D-068E-442C-83EA-7C5FA8FE4471}" name="A_16_5" displayName="A_16_5" ref="A1:A36" tableType="queryTable" totalsRowShown="0">
  <autoFilter ref="A1:A36" xr:uid="{5EB2E91D-068E-442C-83EA-7C5FA8FE4471}"/>
  <tableColumns count="1">
    <tableColumn id="1" xr3:uid="{72486118-772E-4A7E-96DB-DB75C241CB9E}" uniqueName="1" name="AVGQLen:mean" queryTableFieldId="1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07B8D8B-6365-40EA-9EC0-E76413D9D15D}" name="T_16_5" displayName="T_16_5" ref="B1:B36" tableType="queryTable" totalsRowShown="0">
  <autoFilter ref="B1:B36" xr:uid="{807B8D8B-6365-40EA-9EC0-E76413D9D15D}"/>
  <tableColumns count="1">
    <tableColumn id="1" xr3:uid="{61814533-5426-4C0A-AD3B-990A48D61C76}" uniqueName="1" name="ThroughputStat:last" queryTableFieldId="1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C0FDDD1-1683-4563-837D-314DC068086A}" name="A_16_20" displayName="A_16_20" ref="A1:A36" tableType="queryTable" totalsRowShown="0">
  <autoFilter ref="A1:A36" xr:uid="{1C0FDDD1-1683-4563-837D-314DC068086A}"/>
  <tableColumns count="1">
    <tableColumn id="1" xr3:uid="{3AC8E197-60B9-490F-888E-417FDB7307C1}" uniqueName="1" name="AVGQLen:mean" queryTableFieldId="1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62B1909-F61D-4D86-89A2-CBE1CBF99D5E}" name="T_16_20" displayName="T_16_20" ref="B1:B36" tableType="queryTable" totalsRowShown="0">
  <autoFilter ref="B1:B36" xr:uid="{A62B1909-F61D-4D86-89A2-CBE1CBF99D5E}"/>
  <tableColumns count="1">
    <tableColumn id="1" xr3:uid="{845A3A30-4A31-4702-B17B-3A0A0529D763}" uniqueName="1" name="ThroughputStat:last" queryTableFieldId="1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D3208A3-C7C8-40C2-A9EF-F0F976CA80B7}" name="A_16_50" displayName="A_16_50" ref="A1:A36" tableType="queryTable" totalsRowShown="0">
  <autoFilter ref="A1:A36" xr:uid="{BD3208A3-C7C8-40C2-A9EF-F0F976CA80B7}"/>
  <tableColumns count="1">
    <tableColumn id="1" xr3:uid="{2D9FB76B-5F2A-45B4-B7B6-FE37190A048D}" uniqueName="1" name="AVGQLen:mean" queryTableFieldId="1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14135A2-D06A-432D-B104-2F2877103D5A}" name="T_16_50" displayName="T_16_50" ref="B1:B36" tableType="queryTable" totalsRowShown="0">
  <autoFilter ref="B1:B36" xr:uid="{014135A2-D06A-432D-B104-2F2877103D5A}"/>
  <tableColumns count="1">
    <tableColumn id="1" xr3:uid="{72E02B5E-056E-4117-BFB7-76637660CCB3}" uniqueName="1" name="ThroughputStat:last" queryTableFieldId="1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8CB1142-CF2C-46D8-A77D-8822A0F9B12A}" name="A_16_1000" displayName="A_16_1000" ref="A1:A36" tableType="queryTable" totalsRowShown="0">
  <autoFilter ref="A1:A36" xr:uid="{48CB1142-CF2C-46D8-A77D-8822A0F9B12A}"/>
  <tableColumns count="1">
    <tableColumn id="1" xr3:uid="{2F815F63-368B-47CD-8578-33FB0F67F200}" uniqueName="1" name="AVGQLen:mean" queryTableFieldId="1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E288BDA-D072-4D34-9603-90F49DE5CD00}" name="T_16_1000" displayName="T_16_1000" ref="B1:B36" tableType="queryTable" totalsRowShown="0">
  <autoFilter ref="B1:B36" xr:uid="{AE288BDA-D072-4D34-9603-90F49DE5CD00}"/>
  <tableColumns count="1">
    <tableColumn id="1" xr3:uid="{99C37BC3-A357-463E-91F6-66CB0A6A9FC7}" uniqueName="1" name="ThroughputStat:last" queryTableFieldId="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7590AB3-46FF-447A-A542-3C4D028EA6A9}" name="A_20_2" displayName="A_20_2" ref="A1:A36" tableType="queryTable" totalsRowShown="0">
  <autoFilter ref="A1:A36" xr:uid="{D7590AB3-46FF-447A-A542-3C4D028EA6A9}"/>
  <tableColumns count="1">
    <tableColumn id="1" xr3:uid="{54BC82DA-DCAC-4A46-B1BB-9E8D5D84596C}" uniqueName="1" name="AVGQLen:mean" queryTableFieldId="1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6E6C51F-497F-4D26-A5A0-F99D729B20AC}" name="T_20_2" displayName="T_20_2" ref="B1:B36" tableType="queryTable" totalsRowShown="0">
  <autoFilter ref="B1:B36" xr:uid="{06E6C51F-497F-4D26-A5A0-F99D729B20AC}"/>
  <tableColumns count="1">
    <tableColumn id="1" xr3:uid="{6E28B3F3-DC8E-4231-B672-DE263EAEA17A}" uniqueName="1" name="ThroughputStat:last" queryTableFieldId="1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EEA9EED-22CA-4F5B-BF41-07F15CBC3916}" name="A_20_5" displayName="A_20_5" ref="A1:A36" tableType="queryTable" totalsRowShown="0">
  <autoFilter ref="A1:A36" xr:uid="{4EEA9EED-22CA-4F5B-BF41-07F15CBC3916}"/>
  <tableColumns count="1">
    <tableColumn id="1" xr3:uid="{0E6D17D5-3B71-4EE6-BE8D-4FD2012038E0}" uniqueName="1" name="AVGQLen:mean" queryTableFieldId="1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7C9742C-0ED6-4999-B035-500E8CF9E3DA}" name="T_20_5" displayName="T_20_5" ref="B1:B36" tableType="queryTable" totalsRowShown="0">
  <autoFilter ref="B1:B36" xr:uid="{C7C9742C-0ED6-4999-B035-500E8CF9E3DA}"/>
  <tableColumns count="1">
    <tableColumn id="1" xr3:uid="{83D5C895-DCBB-40D8-87C7-508C1CB6FDCC}" uniqueName="1" name="ThroughputStat:last" queryTableFieldId="1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248FBE6-0E47-4CDF-9D6E-41CE6DFE0817}" name="A_20_20" displayName="A_20_20" ref="A1:A36" tableType="queryTable" totalsRowShown="0">
  <autoFilter ref="A1:A36" xr:uid="{F248FBE6-0E47-4CDF-9D6E-41CE6DFE0817}"/>
  <tableColumns count="1">
    <tableColumn id="1" xr3:uid="{BD62063C-5D7D-4F9A-8AE1-1B4E86ED52E3}" uniqueName="1" name="AVGQLen:mean" queryTableFieldId="1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27B921B-357B-45BC-B393-C98BD68E51FB}" name="T_20_20" displayName="T_20_20" ref="B1:B36" tableType="queryTable" totalsRowShown="0">
  <autoFilter ref="B1:B36" xr:uid="{627B921B-357B-45BC-B393-C98BD68E51FB}"/>
  <tableColumns count="1">
    <tableColumn id="1" xr3:uid="{2203E4EF-46C1-4630-B072-2AE3DBA59916}" uniqueName="1" name="ThroughputStat:last" queryTableFieldId="1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6EE3AC0-EA38-4B74-9A57-85F8D13C6694}" name="A_20_50" displayName="A_20_50" ref="A1:A36" tableType="queryTable" totalsRowShown="0">
  <autoFilter ref="A1:A36" xr:uid="{36EE3AC0-EA38-4B74-9A57-85F8D13C6694}"/>
  <tableColumns count="1">
    <tableColumn id="1" xr3:uid="{F169D3F2-F3ED-4881-BB40-784D3ED06BDC}" uniqueName="1" name="AVGQLen:mean" queryTableFieldId="1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5A5B1F3-8C15-4DC3-A242-4329E9EEDEC4}" name="T_20_50" displayName="T_20_50" ref="B1:B36" tableType="queryTable" totalsRowShown="0">
  <autoFilter ref="B1:B36" xr:uid="{A5A5B1F3-8C15-4DC3-A242-4329E9EEDEC4}"/>
  <tableColumns count="1">
    <tableColumn id="1" xr3:uid="{597E5F31-96D4-41A5-A6C6-5A727110ABAB}" uniqueName="1" name="ThroughputStat:last" queryTableFieldId="1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6832374-C0E1-40D1-AEA5-0C2725250B28}" name="T_20_1000" displayName="T_20_1000" ref="A1:A36" totalsRowShown="0">
  <autoFilter ref="A1:A36" xr:uid="{C6832374-C0E1-40D1-AEA5-0C2725250B28}"/>
  <tableColumns count="1">
    <tableColumn id="1" xr3:uid="{D6672930-FECA-4C2F-A6B8-3566ED750E5F}" name="AVGQLen:mean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5BAF9F3-9F47-414A-9E81-6E25FA872420}" name="T_20_1000__2" displayName="T_20_1000__2" ref="B1:B36" tableType="queryTable" totalsRowShown="0">
  <autoFilter ref="B1:B36" xr:uid="{F5BAF9F3-9F47-414A-9E81-6E25FA872420}"/>
  <tableColumns count="1">
    <tableColumn id="1" xr3:uid="{9724142C-0E84-416E-BFC1-A17EEDE78F4C}" uniqueName="1" name="ThroughputStat:last" queryTableFieldId="1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491F806-493F-4E77-AD77-7A3CB950B7C8}" name="A_24_2" displayName="A_24_2" ref="A1:A36" tableType="queryTable" totalsRowShown="0">
  <autoFilter ref="A1:A36" xr:uid="{E491F806-493F-4E77-AD77-7A3CB950B7C8}"/>
  <tableColumns count="1">
    <tableColumn id="1" xr3:uid="{5DF74E47-9B94-4F9D-9DF3-664AC017C0D8}" uniqueName="1" name="AVGQLen:mean" queryTableFieldId="1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2D8D78F-596C-4A1B-86DC-464AF08BADFB}" name="T_24_2__2" displayName="T_24_2__2" ref="B1:B36" tableType="queryTable" totalsRowShown="0">
  <autoFilter ref="B1:B36" xr:uid="{B2D8D78F-596C-4A1B-86DC-464AF08BADFB}"/>
  <tableColumns count="1">
    <tableColumn id="1" xr3:uid="{639A6780-0CA7-4084-93CB-4F91C9132B74}" uniqueName="1" name="ThroughputStat:last" queryTableFieldId="1"/>
  </tableColumns>
  <tableStyleInfo name="TableStyleMedium7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82B8DC6-CC66-4637-A58C-DC1D7990D450}" name="A_24_5" displayName="A_24_5" ref="A1:A36" tableType="queryTable" totalsRowShown="0">
  <autoFilter ref="A1:A36" xr:uid="{482B8DC6-CC66-4637-A58C-DC1D7990D450}"/>
  <tableColumns count="1">
    <tableColumn id="1" xr3:uid="{63558F0E-CC14-45FD-B697-56D0A5C009A1}" uniqueName="1" name="AVGQLen:mean" queryTableFieldId="1"/>
  </tableColumns>
  <tableStyleInfo name="TableStyleMedium7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F53E489-04CA-452A-8C12-D215567E1B66}" name="T_24_5" displayName="T_24_5" ref="B1:B36" tableType="queryTable" totalsRowShown="0">
  <autoFilter ref="B1:B36" xr:uid="{0F53E489-04CA-452A-8C12-D215567E1B66}"/>
  <tableColumns count="1">
    <tableColumn id="1" xr3:uid="{FB7C54D3-A746-4BED-AE30-19EBBBE0E639}" uniqueName="1" name="ThroughputStat:last" queryTableFieldId="1"/>
  </tableColumns>
  <tableStyleInfo name="TableStyleMedium7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76D335C-AB33-4FCA-BCB6-B6AA134C55C5}" name="A_24_20" displayName="A_24_20" ref="A1:A36" tableType="queryTable" totalsRowShown="0">
  <autoFilter ref="A1:A36" xr:uid="{076D335C-AB33-4FCA-BCB6-B6AA134C55C5}"/>
  <tableColumns count="1">
    <tableColumn id="1" xr3:uid="{9BC72885-96AF-41BF-9816-D9D48CEAAE80}" uniqueName="1" name="AVGQLen:mean" queryTableFieldId="1"/>
  </tableColumns>
  <tableStyleInfo name="TableStyleMedium7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A3337D-1B6E-4AB2-A2A6-79575B942FA3}" name="T_24_20" displayName="T_24_20" ref="B1:B36" tableType="queryTable" totalsRowShown="0">
  <autoFilter ref="B1:B36" xr:uid="{38A3337D-1B6E-4AB2-A2A6-79575B942FA3}"/>
  <tableColumns count="1">
    <tableColumn id="1" xr3:uid="{67D1CB6C-DD9C-43C5-BD4A-B0924DCC02A9}" uniqueName="1" name="ThroughputStat:last" queryTableFieldId="1"/>
  </tableColumns>
  <tableStyleInfo name="TableStyleMedium7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BF18520-3E00-46A2-B5AD-574CA9FA4D03}" name="A_24_50" displayName="A_24_50" ref="A1:A36" tableType="queryTable" totalsRowShown="0">
  <autoFilter ref="A1:A36" xr:uid="{EBF18520-3E00-46A2-B5AD-574CA9FA4D03}"/>
  <tableColumns count="1">
    <tableColumn id="1" xr3:uid="{B547718E-C561-4243-9CDF-F7FFCDC2015B}" uniqueName="1" name="AVGQLen:mean" queryTableFieldId="1"/>
  </tableColumns>
  <tableStyleInfo name="TableStyleMedium7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77F0DA6-3110-4637-957B-587F19BD7FB4}" name="T_24_50" displayName="T_24_50" ref="B1:B36" tableType="queryTable" totalsRowShown="0">
  <autoFilter ref="B1:B36" xr:uid="{177F0DA6-3110-4637-957B-587F19BD7FB4}"/>
  <tableColumns count="1">
    <tableColumn id="1" xr3:uid="{DC1ED1B4-8E8C-4A12-B874-5ABCFE4AA3A8}" uniqueName="1" name="ThroughputStat:last" queryTableFieldId="1"/>
  </tableColumns>
  <tableStyleInfo name="TableStyleMedium7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29DE67E-4B98-4106-9EB4-8E8E90CFC2C2}" name="A_24_1000" displayName="A_24_1000" ref="A1:A36" tableType="queryTable" totalsRowShown="0">
  <autoFilter ref="A1:A36" xr:uid="{E29DE67E-4B98-4106-9EB4-8E8E90CFC2C2}"/>
  <tableColumns count="1">
    <tableColumn id="1" xr3:uid="{12EB2C61-1237-470A-95DE-C2D3144D1BEA}" uniqueName="1" name="AVGQLen:mean" queryTableFieldId="1"/>
  </tableColumns>
  <tableStyleInfo name="TableStyleMedium7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B2A74608-F4DB-43E6-B06D-1249D4A673B3}" name="T_24_1000" displayName="T_24_1000" ref="B1:B36" tableType="queryTable" totalsRowShown="0">
  <autoFilter ref="B1:B36" xr:uid="{B2A74608-F4DB-43E6-B06D-1249D4A673B3}"/>
  <tableColumns count="1">
    <tableColumn id="1" xr3:uid="{B084EC00-4BA2-43D8-B652-5955A9642984}" uniqueName="1" name="ThroughputStat:last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table" Target="../tables/table2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table" Target="../tables/table3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table" Target="../tables/table39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table" Target="../tables/table4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table" Target="../tables/table4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36FC-3FEC-4211-93D8-4619634475DD}">
  <dimension ref="A1:M64"/>
  <sheetViews>
    <sheetView zoomScaleNormal="100" workbookViewId="0">
      <selection activeCell="F3" sqref="F3"/>
    </sheetView>
  </sheetViews>
  <sheetFormatPr baseColWidth="10" defaultColWidth="8.83203125" defaultRowHeight="15" x14ac:dyDescent="0.2"/>
  <cols>
    <col min="1" max="1" width="14" bestFit="1" customWidth="1"/>
    <col min="2" max="2" width="16.83203125" bestFit="1" customWidth="1"/>
    <col min="3" max="3" width="12.1640625" bestFit="1" customWidth="1"/>
    <col min="4" max="4" width="14.6640625" style="15" bestFit="1" customWidth="1"/>
    <col min="5" max="5" width="18" bestFit="1" customWidth="1"/>
    <col min="6" max="6" width="12.83203125" bestFit="1" customWidth="1"/>
    <col min="7" max="7" width="17.1640625" bestFit="1" customWidth="1"/>
    <col min="8" max="8" width="19" bestFit="1" customWidth="1"/>
    <col min="9" max="10" width="12.1640625" bestFit="1" customWidth="1"/>
    <col min="11" max="13" width="27.33203125" customWidth="1"/>
  </cols>
  <sheetData>
    <row r="1" spans="1:13" x14ac:dyDescent="0.2">
      <c r="A1" s="9" t="s">
        <v>1</v>
      </c>
      <c r="B1" s="6" t="s">
        <v>2</v>
      </c>
      <c r="G1" s="26"/>
      <c r="H1" s="26"/>
    </row>
    <row r="2" spans="1:13" x14ac:dyDescent="0.2">
      <c r="A2" s="7">
        <v>8112.9955179282997</v>
      </c>
      <c r="B2" s="10">
        <v>34829.866666667003</v>
      </c>
      <c r="D2" s="15" t="s">
        <v>0</v>
      </c>
      <c r="E2" s="18">
        <f>1.282/SQRT(35)</f>
        <v>0.21669755091239165</v>
      </c>
    </row>
    <row r="3" spans="1:13" x14ac:dyDescent="0.2">
      <c r="A3" s="8">
        <v>8116.0258964143004</v>
      </c>
      <c r="B3" s="11">
        <v>34948.066666667</v>
      </c>
    </row>
    <row r="4" spans="1:13" ht="24" x14ac:dyDescent="0.3">
      <c r="A4" s="7">
        <v>8113.2226095617998</v>
      </c>
      <c r="B4" s="25">
        <v>34199.5</v>
      </c>
      <c r="D4" s="16"/>
      <c r="E4" s="3"/>
      <c r="F4" s="3"/>
      <c r="I4" s="3"/>
      <c r="J4" s="3"/>
      <c r="K4" s="3"/>
      <c r="L4" s="3"/>
      <c r="M4" s="3"/>
    </row>
    <row r="5" spans="1:13" x14ac:dyDescent="0.2">
      <c r="A5" s="8">
        <v>8092.9895418326996</v>
      </c>
      <c r="B5" s="11">
        <v>34801.633333332997</v>
      </c>
    </row>
    <row r="6" spans="1:13" x14ac:dyDescent="0.2">
      <c r="A6" s="7">
        <v>8105.6324701194999</v>
      </c>
      <c r="B6" s="10">
        <v>33809.933333333</v>
      </c>
      <c r="E6" s="5"/>
    </row>
    <row r="7" spans="1:13" ht="24" x14ac:dyDescent="0.3">
      <c r="A7" s="8">
        <v>8062.9736055777003</v>
      </c>
      <c r="B7" s="11">
        <v>34414.866666667003</v>
      </c>
      <c r="D7"/>
      <c r="J7" s="2"/>
      <c r="K7" s="3"/>
      <c r="L7" s="3"/>
      <c r="M7" s="3"/>
    </row>
    <row r="8" spans="1:13" x14ac:dyDescent="0.2">
      <c r="A8" s="7">
        <v>8023.5034860557998</v>
      </c>
      <c r="B8" s="10">
        <v>35000.1</v>
      </c>
      <c r="D8"/>
      <c r="J8" s="2"/>
      <c r="M8" s="2"/>
    </row>
    <row r="9" spans="1:13" x14ac:dyDescent="0.2">
      <c r="A9" s="8">
        <v>8086.4516932270999</v>
      </c>
      <c r="B9" s="11">
        <v>34838.433333333</v>
      </c>
      <c r="D9"/>
      <c r="J9" s="2"/>
      <c r="M9" s="2"/>
    </row>
    <row r="10" spans="1:13" x14ac:dyDescent="0.2">
      <c r="A10" s="7">
        <v>8144.9218127490003</v>
      </c>
      <c r="B10" s="10">
        <v>34143.766666666997</v>
      </c>
      <c r="D10"/>
      <c r="J10" s="2"/>
      <c r="M10" s="2"/>
    </row>
    <row r="11" spans="1:13" x14ac:dyDescent="0.2">
      <c r="A11" s="8">
        <v>8071.1937250995998</v>
      </c>
      <c r="B11" s="11">
        <v>34726.533333332998</v>
      </c>
      <c r="D11"/>
      <c r="J11" s="2"/>
      <c r="M11" s="2"/>
    </row>
    <row r="12" spans="1:13" x14ac:dyDescent="0.2">
      <c r="A12" s="7">
        <v>8070.8212151394</v>
      </c>
      <c r="B12" s="10">
        <v>34721.933333333</v>
      </c>
      <c r="D12"/>
      <c r="J12" s="2"/>
      <c r="M12" s="2"/>
    </row>
    <row r="13" spans="1:13" x14ac:dyDescent="0.2">
      <c r="A13" s="8">
        <v>8048.6917330676997</v>
      </c>
      <c r="B13" s="11">
        <v>34991.766666666997</v>
      </c>
      <c r="D13"/>
      <c r="J13" s="2"/>
      <c r="M13" s="2"/>
    </row>
    <row r="14" spans="1:13" x14ac:dyDescent="0.2">
      <c r="A14" s="7">
        <v>8041.2186254979997</v>
      </c>
      <c r="B14" s="10">
        <v>34375.466666667002</v>
      </c>
      <c r="D14"/>
      <c r="J14" s="2"/>
      <c r="M14" s="2"/>
    </row>
    <row r="15" spans="1:13" x14ac:dyDescent="0.2">
      <c r="A15" s="8">
        <v>8079.2141434263003</v>
      </c>
      <c r="B15" s="11">
        <v>34821.333333333001</v>
      </c>
      <c r="D15"/>
      <c r="J15" s="2"/>
      <c r="M15" s="2"/>
    </row>
    <row r="16" spans="1:13" x14ac:dyDescent="0.2">
      <c r="A16" s="7">
        <v>8115.5911354582004</v>
      </c>
      <c r="B16" s="10">
        <v>34411.066666667</v>
      </c>
      <c r="D16"/>
      <c r="J16" s="2"/>
      <c r="M16" s="2"/>
    </row>
    <row r="17" spans="1:13" x14ac:dyDescent="0.2">
      <c r="A17" s="8">
        <v>8021.5199203187003</v>
      </c>
      <c r="B17" s="11">
        <v>34210.366666667003</v>
      </c>
      <c r="D17"/>
      <c r="J17" s="2"/>
      <c r="M17" s="2"/>
    </row>
    <row r="18" spans="1:13" x14ac:dyDescent="0.2">
      <c r="A18" s="7">
        <v>8090.7280876493996</v>
      </c>
      <c r="B18" s="10">
        <v>34666.833333333001</v>
      </c>
      <c r="E18" s="4"/>
      <c r="M18" s="2"/>
    </row>
    <row r="19" spans="1:13" x14ac:dyDescent="0.2">
      <c r="A19" s="8">
        <v>8033.0771912351001</v>
      </c>
      <c r="B19" s="11">
        <v>34277.366666667003</v>
      </c>
      <c r="E19" s="4"/>
      <c r="K19" s="2"/>
      <c r="L19" s="2"/>
      <c r="M19" s="2"/>
    </row>
    <row r="20" spans="1:13" x14ac:dyDescent="0.2">
      <c r="A20" s="7">
        <v>8053.3844621513999</v>
      </c>
      <c r="B20" s="10">
        <v>34954.699999999997</v>
      </c>
      <c r="E20" s="4"/>
      <c r="K20" s="2"/>
      <c r="L20" s="2"/>
      <c r="M20" s="2"/>
    </row>
    <row r="21" spans="1:13" x14ac:dyDescent="0.2">
      <c r="A21" s="8">
        <v>8072.7151394421999</v>
      </c>
      <c r="B21" s="11">
        <v>34196.9</v>
      </c>
      <c r="E21" s="4"/>
      <c r="K21" s="2"/>
      <c r="L21" s="2"/>
      <c r="M21" s="2"/>
    </row>
    <row r="22" spans="1:13" x14ac:dyDescent="0.2">
      <c r="A22" s="7">
        <v>8103.9472111553996</v>
      </c>
      <c r="B22" s="10">
        <v>34135</v>
      </c>
      <c r="E22" s="4"/>
      <c r="K22" s="2"/>
      <c r="L22" s="2"/>
      <c r="M22" s="2"/>
    </row>
    <row r="23" spans="1:13" x14ac:dyDescent="0.2">
      <c r="A23" s="8">
        <v>8076.844123506</v>
      </c>
      <c r="B23" s="11">
        <v>34788.699999999997</v>
      </c>
      <c r="E23" s="4"/>
      <c r="K23" s="2"/>
      <c r="L23" s="2"/>
      <c r="M23" s="2"/>
    </row>
    <row r="24" spans="1:13" x14ac:dyDescent="0.2">
      <c r="A24" s="7">
        <v>8116.9935258963997</v>
      </c>
      <c r="B24" s="10">
        <v>34724.5</v>
      </c>
      <c r="E24" s="4"/>
      <c r="K24" s="2"/>
      <c r="L24" s="2"/>
      <c r="M24" s="2"/>
    </row>
    <row r="25" spans="1:13" x14ac:dyDescent="0.2">
      <c r="A25" s="8">
        <v>8090.8227091632998</v>
      </c>
      <c r="B25" s="11">
        <v>34093.066666667</v>
      </c>
      <c r="E25" s="4"/>
      <c r="K25" s="2"/>
      <c r="L25" s="2"/>
      <c r="M25" s="2"/>
    </row>
    <row r="26" spans="1:13" x14ac:dyDescent="0.2">
      <c r="A26" s="7">
        <v>8160.7475099601997</v>
      </c>
      <c r="B26" s="10">
        <v>33820</v>
      </c>
      <c r="E26" s="4"/>
      <c r="K26" s="2"/>
      <c r="L26" s="2"/>
      <c r="M26" s="2"/>
    </row>
    <row r="27" spans="1:13" x14ac:dyDescent="0.2">
      <c r="A27" s="8">
        <v>8117.7226095617998</v>
      </c>
      <c r="B27" s="11">
        <v>34475.633333332997</v>
      </c>
      <c r="K27" s="2"/>
      <c r="L27" s="2"/>
      <c r="M27" s="2"/>
    </row>
    <row r="28" spans="1:13" x14ac:dyDescent="0.2">
      <c r="A28" s="7">
        <v>7973.5657370518002</v>
      </c>
      <c r="B28" s="10">
        <v>34412.433333333</v>
      </c>
      <c r="K28" s="2"/>
      <c r="L28" s="2"/>
      <c r="M28" s="2"/>
    </row>
    <row r="29" spans="1:13" x14ac:dyDescent="0.2">
      <c r="A29" s="8">
        <v>8065.8301792828997</v>
      </c>
      <c r="B29" s="11">
        <v>34538.533333332998</v>
      </c>
      <c r="K29" s="2"/>
      <c r="L29" s="2"/>
      <c r="M29" s="2"/>
    </row>
    <row r="30" spans="1:13" x14ac:dyDescent="0.2">
      <c r="A30" s="7">
        <v>8013.2574701194999</v>
      </c>
      <c r="B30" s="10">
        <v>34140.9</v>
      </c>
      <c r="K30" s="2"/>
      <c r="L30" s="2"/>
      <c r="M30" s="2"/>
    </row>
    <row r="31" spans="1:13" x14ac:dyDescent="0.2">
      <c r="A31" s="8">
        <v>8027.3491035856996</v>
      </c>
      <c r="B31" s="11">
        <v>34529.866666667003</v>
      </c>
      <c r="K31" s="2"/>
      <c r="L31" s="2"/>
      <c r="M31" s="2"/>
    </row>
    <row r="32" spans="1:13" x14ac:dyDescent="0.2">
      <c r="A32" s="7">
        <v>8089.2410358566003</v>
      </c>
      <c r="B32" s="10">
        <v>33883.466666667002</v>
      </c>
      <c r="K32" s="2"/>
      <c r="L32" s="2"/>
      <c r="M32" s="2"/>
    </row>
    <row r="33" spans="1:13" x14ac:dyDescent="0.2">
      <c r="A33" s="8">
        <v>8121.9013944222997</v>
      </c>
      <c r="B33" s="11">
        <v>34612.633333332997</v>
      </c>
      <c r="K33" s="2"/>
      <c r="L33" s="2"/>
      <c r="M33" s="2"/>
    </row>
    <row r="34" spans="1:13" x14ac:dyDescent="0.2">
      <c r="A34" s="7">
        <v>8111.2370517928002</v>
      </c>
      <c r="B34" s="10">
        <v>34163</v>
      </c>
      <c r="K34" s="2"/>
      <c r="L34" s="2"/>
      <c r="M34" s="2"/>
    </row>
    <row r="35" spans="1:13" x14ac:dyDescent="0.2">
      <c r="A35" s="8">
        <v>8077.3401394421999</v>
      </c>
      <c r="B35" s="11">
        <v>34347.199999999997</v>
      </c>
      <c r="K35" s="2"/>
      <c r="L35" s="2"/>
      <c r="M35" s="2"/>
    </row>
    <row r="36" spans="1:13" x14ac:dyDescent="0.2">
      <c r="A36" s="7">
        <v>8135.3984063745002</v>
      </c>
      <c r="B36" s="10">
        <v>35031.166666666999</v>
      </c>
      <c r="K36" s="2"/>
      <c r="L36" s="2"/>
      <c r="M36" s="2"/>
    </row>
    <row r="37" spans="1:13" x14ac:dyDescent="0.2">
      <c r="K37" s="2"/>
      <c r="L37" s="2"/>
      <c r="M37" s="2"/>
    </row>
    <row r="38" spans="1:13" x14ac:dyDescent="0.2">
      <c r="K38" s="2"/>
      <c r="L38" s="2"/>
      <c r="M38" s="2"/>
    </row>
    <row r="39" spans="1:13" x14ac:dyDescent="0.2">
      <c r="K39" s="2"/>
      <c r="L39" s="2"/>
      <c r="M39" s="2"/>
    </row>
    <row r="40" spans="1:13" x14ac:dyDescent="0.2">
      <c r="K40" s="2"/>
      <c r="L40" s="2"/>
      <c r="M40" s="2"/>
    </row>
    <row r="41" spans="1:13" x14ac:dyDescent="0.2">
      <c r="K41" s="2"/>
      <c r="L41" s="2"/>
      <c r="M41" s="2"/>
    </row>
    <row r="42" spans="1:13" x14ac:dyDescent="0.2">
      <c r="D42" s="17"/>
    </row>
    <row r="44" spans="1:13" x14ac:dyDescent="0.2">
      <c r="A44" s="13"/>
      <c r="C44" s="13"/>
    </row>
    <row r="45" spans="1:13" x14ac:dyDescent="0.2">
      <c r="A45" s="13"/>
    </row>
    <row r="46" spans="1:13" x14ac:dyDescent="0.2">
      <c r="A46" s="13"/>
      <c r="D46" s="17" t="s">
        <v>5</v>
      </c>
      <c r="E46" s="17" t="s">
        <v>6</v>
      </c>
      <c r="F46" s="12" t="s">
        <v>7</v>
      </c>
      <c r="H46" s="27" t="s">
        <v>13</v>
      </c>
      <c r="I46" s="28"/>
      <c r="J46" s="28"/>
    </row>
    <row r="47" spans="1:13" x14ac:dyDescent="0.2">
      <c r="B47" s="12" t="s">
        <v>3</v>
      </c>
      <c r="C47" s="12" t="s">
        <v>4</v>
      </c>
      <c r="D47" s="15">
        <v>0.1</v>
      </c>
      <c r="E47" s="15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3" x14ac:dyDescent="0.2">
      <c r="A48" s="12" t="s">
        <v>8</v>
      </c>
      <c r="B48">
        <f>AVERAGE(A2:A36)</f>
        <v>8081.1162919749604</v>
      </c>
      <c r="C48">
        <f>_xlfn.STDEV.S(A2:A36)</f>
        <v>40.974571189115004</v>
      </c>
      <c r="D48">
        <f>((_xlfn.NORM.S.INV(1-$D$47/2) * $C$48) / ($D$47 * $B$48))^2</f>
        <v>6.9556966748280501E-3</v>
      </c>
      <c r="E48">
        <f>((_xlfn.NORM.S.INV(1-$E$47/2) * $C$48) / ($E$47 * $B$48))^2</f>
        <v>3.9504111168711213E-2</v>
      </c>
      <c r="F48">
        <f>((_xlfn.NORM.S.INV(1-$F$47/2) * $C$48) / ($F$47 * $B$48))^2</f>
        <v>1.7057692477898632</v>
      </c>
      <c r="H48">
        <f>_xlfn.NORM.S.INV(1-0.01/2)</f>
        <v>2.5758293035488999</v>
      </c>
      <c r="I48">
        <f>(_xlfn.NORM.S.INV(1-$F$47/2) * $C$48)</f>
        <v>105.54350116927291</v>
      </c>
      <c r="J48">
        <f>($F$47 * $B$48)</f>
        <v>80.811162919749606</v>
      </c>
    </row>
    <row r="49" spans="1:7" x14ac:dyDescent="0.2">
      <c r="A49" s="12" t="s">
        <v>9</v>
      </c>
      <c r="B49">
        <f>AVERAGE(B2:B36)</f>
        <v>34486.758095238118</v>
      </c>
      <c r="C49">
        <f>_xlfn.STDEV.S(B2:B36)</f>
        <v>352.93313419389557</v>
      </c>
      <c r="D49">
        <f>((_xlfn.NORM.S.INV(1-$D$47/2) * $C$49) / ($D$47 * $B$49))^2</f>
        <v>2.8335745151487797E-2</v>
      </c>
      <c r="E49">
        <f>((_xlfn.NORM.S.INV(1-$E$47/2) * $C$49) / ($E$47 * $B$49))^2</f>
        <v>0.1609297355595678</v>
      </c>
      <c r="F49">
        <f>((_xlfn.NORM.S.INV(1-$F$47/2) * $C$49) / ($F$47 * $B$49))^2</f>
        <v>6.9488715440302693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4">
        <f>_xlfn.NORM.S.INV(1-B55/2)</f>
        <v>1.6448536269514715</v>
      </c>
      <c r="D55" s="21">
        <f>C55*$C$49</f>
        <v>580.52334585017957</v>
      </c>
      <c r="E55" s="22">
        <f>D55/SQRT(35)</f>
        <v>98.126355142902682</v>
      </c>
      <c r="F55" s="23">
        <f>$B$49-E55</f>
        <v>34388.631740095218</v>
      </c>
      <c r="G55" s="23">
        <f>SUM($B$49,E55)</f>
        <v>34584.884450381018</v>
      </c>
    </row>
    <row r="56" spans="1:7" x14ac:dyDescent="0.2">
      <c r="A56" s="20">
        <v>0.95</v>
      </c>
      <c r="B56" s="20">
        <f>1-A56</f>
        <v>5.0000000000000044E-2</v>
      </c>
      <c r="C56" s="24">
        <f>_xlfn.NORM.S.INV(1-B56/2)</f>
        <v>1.9599639845400536</v>
      </c>
      <c r="D56" s="21">
        <f>C56*$C$49</f>
        <v>691.73623197087704</v>
      </c>
      <c r="E56" s="22">
        <f>D56/SQRT(35)</f>
        <v>116.92476392001177</v>
      </c>
      <c r="F56" s="23">
        <f>$B$49-E56</f>
        <v>34369.833331318107</v>
      </c>
      <c r="G56" s="23">
        <f>SUM($B$49,E56)</f>
        <v>34603.682859158129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4">
        <f>_xlfn.NORM.S.INV(1-B63/2)</f>
        <v>1.6448536269514715</v>
      </c>
      <c r="D63" s="21">
        <f>C63*$C$48</f>
        <v>67.39717203319708</v>
      </c>
      <c r="E63" s="22">
        <f>D63/SQRT(35)</f>
        <v>11.39220134010526</v>
      </c>
      <c r="F63" s="23">
        <f>$B$48-E63</f>
        <v>8069.7240906348552</v>
      </c>
      <c r="G63" s="23">
        <f>SUM($B$48,E63)</f>
        <v>8092.5084933150656</v>
      </c>
    </row>
    <row r="64" spans="1:7" x14ac:dyDescent="0.2">
      <c r="A64" s="20">
        <v>0.95</v>
      </c>
      <c r="B64" s="20">
        <f>1-A64</f>
        <v>5.0000000000000044E-2</v>
      </c>
      <c r="C64" s="24">
        <f>_xlfn.NORM.S.INV(1-B64/2)</f>
        <v>1.9599639845400536</v>
      </c>
      <c r="D64" s="21">
        <f>C64*$C$48</f>
        <v>80.308683812637923</v>
      </c>
      <c r="E64" s="22">
        <f>D64/SQRT(35)</f>
        <v>13.574645163179618</v>
      </c>
      <c r="F64" s="23">
        <f>$B$48-E64</f>
        <v>8067.541646811781</v>
      </c>
      <c r="G64" s="23">
        <f>SUM($B$48,E64)</f>
        <v>8094.6909371381398</v>
      </c>
    </row>
  </sheetData>
  <mergeCells count="3">
    <mergeCell ref="H46:J46"/>
    <mergeCell ref="B53:G53"/>
    <mergeCell ref="B61:G6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E652-9108-4BB3-A441-7FBC20A2688B}">
  <dimension ref="A1:J64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4.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7" width="17.1640625" bestFit="1" customWidth="1"/>
    <col min="8" max="8" width="19" bestFit="1" customWidth="1"/>
    <col min="9" max="10" width="12.1640625" bestFit="1" customWidth="1"/>
  </cols>
  <sheetData>
    <row r="1" spans="1:8" x14ac:dyDescent="0.2">
      <c r="A1" t="s">
        <v>14</v>
      </c>
      <c r="B1" t="s">
        <v>2</v>
      </c>
      <c r="G1" s="26"/>
      <c r="H1" s="26"/>
    </row>
    <row r="2" spans="1:8" x14ac:dyDescent="0.2">
      <c r="A2">
        <v>95.854581673306996</v>
      </c>
      <c r="B2">
        <v>207589.56666667</v>
      </c>
    </row>
    <row r="3" spans="1:8" x14ac:dyDescent="0.2">
      <c r="A3">
        <v>80.417330677291005</v>
      </c>
      <c r="B3">
        <v>207619.56666667</v>
      </c>
    </row>
    <row r="4" spans="1:8" x14ac:dyDescent="0.2">
      <c r="A4">
        <v>94.135458167330995</v>
      </c>
      <c r="B4">
        <v>206765.9</v>
      </c>
    </row>
    <row r="5" spans="1:8" x14ac:dyDescent="0.2">
      <c r="A5">
        <v>94.141932270916001</v>
      </c>
      <c r="B5">
        <v>205948.13333333001</v>
      </c>
    </row>
    <row r="6" spans="1:8" x14ac:dyDescent="0.2">
      <c r="A6">
        <v>91.637450199203002</v>
      </c>
      <c r="B6">
        <v>207647.56666667</v>
      </c>
    </row>
    <row r="7" spans="1:8" x14ac:dyDescent="0.2">
      <c r="A7">
        <v>89.096613545816993</v>
      </c>
      <c r="B7">
        <v>207709.46666666999</v>
      </c>
    </row>
    <row r="8" spans="1:8" x14ac:dyDescent="0.2">
      <c r="A8">
        <v>93.540836653385995</v>
      </c>
      <c r="B8">
        <v>207252.66666667</v>
      </c>
    </row>
    <row r="9" spans="1:8" x14ac:dyDescent="0.2">
      <c r="A9">
        <v>91.182270916335</v>
      </c>
      <c r="B9">
        <v>206020.26666667001</v>
      </c>
    </row>
    <row r="10" spans="1:8" x14ac:dyDescent="0.2">
      <c r="A10">
        <v>106.34810756972</v>
      </c>
      <c r="B10">
        <v>206650.4</v>
      </c>
    </row>
    <row r="11" spans="1:8" x14ac:dyDescent="0.2">
      <c r="A11">
        <v>98.587151394421994</v>
      </c>
      <c r="B11">
        <v>206947.06666667</v>
      </c>
    </row>
    <row r="12" spans="1:8" x14ac:dyDescent="0.2">
      <c r="A12">
        <v>88.334163346614005</v>
      </c>
      <c r="B12">
        <v>207926.39999999999</v>
      </c>
    </row>
    <row r="13" spans="1:8" x14ac:dyDescent="0.2">
      <c r="A13">
        <v>88.365537848605996</v>
      </c>
      <c r="B13">
        <v>206469.16666667</v>
      </c>
    </row>
    <row r="14" spans="1:8" x14ac:dyDescent="0.2">
      <c r="A14">
        <v>85.175298804780994</v>
      </c>
      <c r="B14">
        <v>206883.73333332999</v>
      </c>
    </row>
    <row r="15" spans="1:8" x14ac:dyDescent="0.2">
      <c r="A15">
        <v>83.823207171315005</v>
      </c>
      <c r="B15">
        <v>207157.86666666999</v>
      </c>
    </row>
    <row r="16" spans="1:8" x14ac:dyDescent="0.2">
      <c r="A16">
        <v>82.206673306772998</v>
      </c>
      <c r="B16">
        <v>207278.13333333001</v>
      </c>
    </row>
    <row r="17" spans="1:2" x14ac:dyDescent="0.2">
      <c r="A17">
        <v>89.451693227091994</v>
      </c>
      <c r="B17">
        <v>206543.43333333</v>
      </c>
    </row>
    <row r="18" spans="1:2" x14ac:dyDescent="0.2">
      <c r="A18">
        <v>84.978087649401999</v>
      </c>
      <c r="B18">
        <v>206667.36666666999</v>
      </c>
    </row>
    <row r="19" spans="1:2" x14ac:dyDescent="0.2">
      <c r="A19">
        <v>90.939741035856997</v>
      </c>
      <c r="B19">
        <v>207306.86666666999</v>
      </c>
    </row>
    <row r="20" spans="1:2" x14ac:dyDescent="0.2">
      <c r="A20">
        <v>94.609561752988</v>
      </c>
      <c r="B20">
        <v>206170.5</v>
      </c>
    </row>
    <row r="21" spans="1:2" x14ac:dyDescent="0.2">
      <c r="A21">
        <v>92.713645418327005</v>
      </c>
      <c r="B21">
        <v>206222.03333333001</v>
      </c>
    </row>
    <row r="22" spans="1:2" x14ac:dyDescent="0.2">
      <c r="A22">
        <v>94.410358565736999</v>
      </c>
      <c r="B22">
        <v>206349.43333333</v>
      </c>
    </row>
    <row r="23" spans="1:2" x14ac:dyDescent="0.2">
      <c r="A23">
        <v>85.123505976095998</v>
      </c>
      <c r="B23">
        <v>205568.16666667</v>
      </c>
    </row>
    <row r="24" spans="1:2" x14ac:dyDescent="0.2">
      <c r="A24">
        <v>92.158864541832997</v>
      </c>
      <c r="B24">
        <v>208186.9</v>
      </c>
    </row>
    <row r="25" spans="1:2" x14ac:dyDescent="0.2">
      <c r="A25">
        <v>82.675298804780994</v>
      </c>
      <c r="B25">
        <v>207310.63333333001</v>
      </c>
    </row>
    <row r="26" spans="1:2" x14ac:dyDescent="0.2">
      <c r="A26">
        <v>93.066733067729004</v>
      </c>
      <c r="B26">
        <v>207937.56666667</v>
      </c>
    </row>
    <row r="27" spans="1:2" x14ac:dyDescent="0.2">
      <c r="A27">
        <v>103.98705179283</v>
      </c>
      <c r="B27">
        <v>206548.86666666999</v>
      </c>
    </row>
    <row r="28" spans="1:2" x14ac:dyDescent="0.2">
      <c r="A28">
        <v>86.184760956174998</v>
      </c>
      <c r="B28">
        <v>207680.1</v>
      </c>
    </row>
    <row r="29" spans="1:2" x14ac:dyDescent="0.2">
      <c r="A29">
        <v>90.542330677291005</v>
      </c>
      <c r="B29">
        <v>207169.46666666999</v>
      </c>
    </row>
    <row r="30" spans="1:2" x14ac:dyDescent="0.2">
      <c r="A30">
        <v>88.485557768923996</v>
      </c>
      <c r="B30">
        <v>204557.16666667</v>
      </c>
    </row>
    <row r="31" spans="1:2" x14ac:dyDescent="0.2">
      <c r="A31">
        <v>99.310756972112003</v>
      </c>
      <c r="B31">
        <v>206862.4</v>
      </c>
    </row>
    <row r="32" spans="1:2" x14ac:dyDescent="0.2">
      <c r="A32">
        <v>83.805278884461998</v>
      </c>
      <c r="B32">
        <v>205746.36666666999</v>
      </c>
    </row>
    <row r="33" spans="1:10" x14ac:dyDescent="0.2">
      <c r="A33">
        <v>99.945219123506007</v>
      </c>
      <c r="B33">
        <v>207547.86666666999</v>
      </c>
    </row>
    <row r="34" spans="1:10" x14ac:dyDescent="0.2">
      <c r="A34">
        <v>91.043326693227002</v>
      </c>
      <c r="B34">
        <v>206762.53333333001</v>
      </c>
    </row>
    <row r="35" spans="1:10" x14ac:dyDescent="0.2">
      <c r="A35">
        <v>91.958665338645005</v>
      </c>
      <c r="B35">
        <v>206613.2</v>
      </c>
    </row>
    <row r="36" spans="1:10" x14ac:dyDescent="0.2">
      <c r="A36">
        <v>88.844621513944006</v>
      </c>
      <c r="B36">
        <v>208019.86666666999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13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91.05947638019353</v>
      </c>
      <c r="C48">
        <f>_xlfn.STDEV.S(A2:A36)</f>
        <v>5.9805968399605467</v>
      </c>
      <c r="D48">
        <f>((_xlfn.NORM.S.INV(1-$D$47/2) * $C$48) / ($D$47 * $B$48))^2</f>
        <v>1.167060231361589</v>
      </c>
      <c r="E48">
        <f>((_xlfn.NORM.S.INV(1-$E$47/2) * $C$48) / ($E$47 * $B$48))^2</f>
        <v>6.6281897091824744</v>
      </c>
      <c r="F48">
        <f>((_xlfn.NORM.S.INV(1-$F$47/2) * $C$48) / ($F$47 * $B$48))^2</f>
        <v>286.20216579877444</v>
      </c>
      <c r="H48">
        <f>_xlfn.NORM.S.INV(1-0.01/2)</f>
        <v>2.5758293035488999</v>
      </c>
      <c r="I48">
        <f>(_xlfn.NORM.S.INV(1-$F$47/2) * $C$48)</f>
        <v>15.404996593082327</v>
      </c>
      <c r="J48">
        <f>($F$47 * $B$48)</f>
        <v>0.91059476380193527</v>
      </c>
    </row>
    <row r="49" spans="1:7" x14ac:dyDescent="0.2">
      <c r="A49" s="12" t="s">
        <v>9</v>
      </c>
      <c r="B49">
        <f>AVERAGE(B2:B36)</f>
        <v>206903.90380952487</v>
      </c>
      <c r="C49">
        <f>_xlfn.STDEV.S(B2:B36)</f>
        <v>790.75419558079716</v>
      </c>
      <c r="D49">
        <f>((_xlfn.NORM.S.INV(1-$D$47/2) * $C$49) / ($D$47 * $B$49))^2</f>
        <v>3.9518472863396947E-3</v>
      </c>
      <c r="E49">
        <f>((_xlfn.NORM.S.INV(1-$E$47/2) * $C$49) / ($E$47 * $B$49))^2</f>
        <v>2.2444080272547563E-2</v>
      </c>
      <c r="F49">
        <f>((_xlfn.NORM.S.INV(1-$F$47/2) * $C$49) / ($F$47 * $B$49))^2</f>
        <v>0.96912500474536789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1300.6749066281675</v>
      </c>
      <c r="E55" s="20">
        <f>D55/SQRT(35)</f>
        <v>219.85418627108234</v>
      </c>
      <c r="F55" s="23">
        <f>$B$49-E55</f>
        <v>206684.04962325378</v>
      </c>
      <c r="G55" s="23">
        <f>SUM($B$49,E55)</f>
        <v>207123.75799579595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1549.849743962304</v>
      </c>
      <c r="E56" s="20">
        <f>D56/SQRT(35)</f>
        <v>261.97242105992865</v>
      </c>
      <c r="F56" s="23">
        <f>$B$49-E56</f>
        <v>206641.93138846493</v>
      </c>
      <c r="G56" s="23">
        <f>SUM($B$49,E56)</f>
        <v>207165.87623058481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9.8372064035436146</v>
      </c>
      <c r="E63" s="20">
        <f>D63/SQRT(35)</f>
        <v>1.6627913693194989</v>
      </c>
      <c r="F63" s="23">
        <f>$B$48-E63</f>
        <v>89.396685010874037</v>
      </c>
      <c r="G63" s="23">
        <f>SUM($B$48,E63)</f>
        <v>92.722267749513023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11.721754412376727</v>
      </c>
      <c r="E64" s="20">
        <f>D64/SQRT(35)</f>
        <v>1.9813381229005906</v>
      </c>
      <c r="F64" s="23">
        <f>$B$48-E64</f>
        <v>89.078138257292935</v>
      </c>
      <c r="G64" s="23">
        <f>SUM($B$48,E64)</f>
        <v>93.040814503094126</v>
      </c>
    </row>
  </sheetData>
  <mergeCells count="3">
    <mergeCell ref="B61:G61"/>
    <mergeCell ref="H46:J46"/>
    <mergeCell ref="B53:G53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E592-CCED-419F-B3D7-0E387BEE62B8}">
  <dimension ref="A1:J64"/>
  <sheetViews>
    <sheetView topLeftCell="A13" zoomScaleNormal="100" workbookViewId="0">
      <selection activeCell="G1" sqref="G1:H36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7" width="17.1640625" bestFit="1" customWidth="1"/>
    <col min="8" max="8" width="19" bestFit="1" customWidth="1"/>
    <col min="9" max="10" width="12.1640625" bestFit="1" customWidth="1"/>
  </cols>
  <sheetData>
    <row r="1" spans="1:8" x14ac:dyDescent="0.2">
      <c r="A1" t="s">
        <v>1</v>
      </c>
      <c r="B1" t="s">
        <v>2</v>
      </c>
      <c r="G1" s="26"/>
      <c r="H1" s="26"/>
    </row>
    <row r="2" spans="1:8" x14ac:dyDescent="0.2">
      <c r="A2">
        <v>8112.9955179282997</v>
      </c>
      <c r="B2">
        <v>207732.63333333001</v>
      </c>
    </row>
    <row r="3" spans="1:8" x14ac:dyDescent="0.2">
      <c r="A3">
        <v>8116.0258964143004</v>
      </c>
      <c r="B3">
        <v>207524.8</v>
      </c>
    </row>
    <row r="4" spans="1:8" x14ac:dyDescent="0.2">
      <c r="A4">
        <v>8113.2226095617998</v>
      </c>
      <c r="B4">
        <v>207602.76666667001</v>
      </c>
    </row>
    <row r="5" spans="1:8" x14ac:dyDescent="0.2">
      <c r="A5">
        <v>8092.9895418326996</v>
      </c>
      <c r="B5">
        <v>208745.03333333001</v>
      </c>
    </row>
    <row r="6" spans="1:8" x14ac:dyDescent="0.2">
      <c r="A6">
        <v>8105.6324701194999</v>
      </c>
      <c r="B6">
        <v>207416.56666667</v>
      </c>
    </row>
    <row r="7" spans="1:8" x14ac:dyDescent="0.2">
      <c r="A7">
        <v>8062.9736055777003</v>
      </c>
      <c r="B7">
        <v>207515.06666667</v>
      </c>
    </row>
    <row r="8" spans="1:8" x14ac:dyDescent="0.2">
      <c r="A8">
        <v>8023.5034860557998</v>
      </c>
      <c r="B8">
        <v>207617.46666666999</v>
      </c>
    </row>
    <row r="9" spans="1:8" x14ac:dyDescent="0.2">
      <c r="A9">
        <v>8086.4516932270999</v>
      </c>
      <c r="B9">
        <v>207667.56666667</v>
      </c>
    </row>
    <row r="10" spans="1:8" x14ac:dyDescent="0.2">
      <c r="A10">
        <v>8144.9218127490003</v>
      </c>
      <c r="B10">
        <v>209455.66666667</v>
      </c>
    </row>
    <row r="11" spans="1:8" x14ac:dyDescent="0.2">
      <c r="A11">
        <v>8071.1937250995998</v>
      </c>
      <c r="B11">
        <v>207946.33333333</v>
      </c>
    </row>
    <row r="12" spans="1:8" x14ac:dyDescent="0.2">
      <c r="A12">
        <v>8070.8212151394</v>
      </c>
      <c r="B12">
        <v>207832.16666667</v>
      </c>
    </row>
    <row r="13" spans="1:8" x14ac:dyDescent="0.2">
      <c r="A13">
        <v>8048.6917330676997</v>
      </c>
      <c r="B13">
        <v>208388.46666666999</v>
      </c>
    </row>
    <row r="14" spans="1:8" x14ac:dyDescent="0.2">
      <c r="A14">
        <v>8041.2186254979997</v>
      </c>
      <c r="B14">
        <v>207218.66666667</v>
      </c>
    </row>
    <row r="15" spans="1:8" x14ac:dyDescent="0.2">
      <c r="A15">
        <v>8079.2141434263003</v>
      </c>
      <c r="B15">
        <v>207438.66666667</v>
      </c>
    </row>
    <row r="16" spans="1:8" x14ac:dyDescent="0.2">
      <c r="A16">
        <v>8115.5911354582004</v>
      </c>
      <c r="B16">
        <v>206482.3</v>
      </c>
    </row>
    <row r="17" spans="1:2" x14ac:dyDescent="0.2">
      <c r="A17">
        <v>8021.5199203187003</v>
      </c>
      <c r="B17">
        <v>207555.06666667</v>
      </c>
    </row>
    <row r="18" spans="1:2" x14ac:dyDescent="0.2">
      <c r="A18">
        <v>8090.7280876493996</v>
      </c>
      <c r="B18">
        <v>208016.2</v>
      </c>
    </row>
    <row r="19" spans="1:2" x14ac:dyDescent="0.2">
      <c r="A19">
        <v>8033.0771912351001</v>
      </c>
      <c r="B19">
        <v>207433.43333333</v>
      </c>
    </row>
    <row r="20" spans="1:2" x14ac:dyDescent="0.2">
      <c r="A20">
        <v>8053.3844621513999</v>
      </c>
      <c r="B20">
        <v>207575.83333333</v>
      </c>
    </row>
    <row r="21" spans="1:2" x14ac:dyDescent="0.2">
      <c r="A21">
        <v>8072.7151394421999</v>
      </c>
      <c r="B21">
        <v>208510.66666667</v>
      </c>
    </row>
    <row r="22" spans="1:2" x14ac:dyDescent="0.2">
      <c r="A22">
        <v>8103.9472111553996</v>
      </c>
      <c r="B22">
        <v>207060.6</v>
      </c>
    </row>
    <row r="23" spans="1:2" x14ac:dyDescent="0.2">
      <c r="A23">
        <v>8076.844123506</v>
      </c>
      <c r="B23">
        <v>207535.6</v>
      </c>
    </row>
    <row r="24" spans="1:2" x14ac:dyDescent="0.2">
      <c r="A24">
        <v>8116.9935258963997</v>
      </c>
      <c r="B24">
        <v>208070.43333333</v>
      </c>
    </row>
    <row r="25" spans="1:2" x14ac:dyDescent="0.2">
      <c r="A25">
        <v>8090.8227091632998</v>
      </c>
      <c r="B25">
        <v>208350.1</v>
      </c>
    </row>
    <row r="26" spans="1:2" x14ac:dyDescent="0.2">
      <c r="A26">
        <v>8160.7475099601997</v>
      </c>
      <c r="B26">
        <v>207076.8</v>
      </c>
    </row>
    <row r="27" spans="1:2" x14ac:dyDescent="0.2">
      <c r="A27">
        <v>8117.7226095617998</v>
      </c>
      <c r="B27">
        <v>206555.86666666999</v>
      </c>
    </row>
    <row r="28" spans="1:2" x14ac:dyDescent="0.2">
      <c r="A28">
        <v>7973.5657370518002</v>
      </c>
      <c r="B28">
        <v>207060.06666667</v>
      </c>
    </row>
    <row r="29" spans="1:2" x14ac:dyDescent="0.2">
      <c r="A29">
        <v>8065.8301792828997</v>
      </c>
      <c r="B29">
        <v>207534.46666666999</v>
      </c>
    </row>
    <row r="30" spans="1:2" x14ac:dyDescent="0.2">
      <c r="A30">
        <v>8013.2574701194999</v>
      </c>
      <c r="B30">
        <v>207208.63333333001</v>
      </c>
    </row>
    <row r="31" spans="1:2" x14ac:dyDescent="0.2">
      <c r="A31">
        <v>8027.3491035856996</v>
      </c>
      <c r="B31">
        <v>209072.63333333001</v>
      </c>
    </row>
    <row r="32" spans="1:2" x14ac:dyDescent="0.2">
      <c r="A32">
        <v>8089.2410358566003</v>
      </c>
      <c r="B32">
        <v>206752.1</v>
      </c>
    </row>
    <row r="33" spans="1:10" x14ac:dyDescent="0.2">
      <c r="A33">
        <v>8121.9013944222997</v>
      </c>
      <c r="B33">
        <v>207677.6</v>
      </c>
    </row>
    <row r="34" spans="1:10" x14ac:dyDescent="0.2">
      <c r="A34">
        <v>8111.2370517928002</v>
      </c>
      <c r="B34">
        <v>208112.9</v>
      </c>
    </row>
    <row r="35" spans="1:10" x14ac:dyDescent="0.2">
      <c r="A35">
        <v>8077.3401394421999</v>
      </c>
      <c r="B35">
        <v>207564.7</v>
      </c>
    </row>
    <row r="36" spans="1:10" x14ac:dyDescent="0.2">
      <c r="A36">
        <v>8135.3984063745002</v>
      </c>
      <c r="B36">
        <v>207940.9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8081.1162919749604</v>
      </c>
      <c r="C48">
        <f>_xlfn.STDEV.S(A2:A36)</f>
        <v>40.974571189115004</v>
      </c>
      <c r="D48">
        <f>((_xlfn.NORM.S.INV(1-$D$47/2) * $C$48) / ($D$47 * $B$48))^2</f>
        <v>6.9556966748280501E-3</v>
      </c>
      <c r="E48">
        <f>((_xlfn.NORM.S.INV(1-$E$47/2) * $C$48) / ($E$47 * $B$48))^2</f>
        <v>3.9504111168711213E-2</v>
      </c>
      <c r="F48">
        <f>((_xlfn.NORM.S.INV(1-$F$47/2) * $C$48) / ($F$47 * $B$48))^2</f>
        <v>1.7057692477898632</v>
      </c>
      <c r="H48">
        <f>_xlfn.NORM.S.INV(1-0.01/2)</f>
        <v>2.5758293035488999</v>
      </c>
      <c r="I48">
        <f>(_xlfn.NORM.S.INV(1-$F$47/2) * $C$48)</f>
        <v>105.54350116927291</v>
      </c>
      <c r="J48">
        <f>($F$47 * $B$48)</f>
        <v>80.811162919749606</v>
      </c>
    </row>
    <row r="49" spans="1:7" x14ac:dyDescent="0.2">
      <c r="A49" s="12" t="s">
        <v>9</v>
      </c>
      <c r="B49">
        <f>AVERAGE(B2:B36)</f>
        <v>207692.8219047625</v>
      </c>
      <c r="C49">
        <f>_xlfn.STDEV.S(B2:B36)</f>
        <v>640.24969122991968</v>
      </c>
      <c r="D49">
        <f>((_xlfn.NORM.S.INV(1-$D$47/2) * $C$49) / ($D$47 * $B$49))^2</f>
        <v>2.5710486514516889E-3</v>
      </c>
      <c r="E49">
        <f>((_xlfn.NORM.S.INV(1-$E$47/2) * $C$49) / ($E$47 * $B$49))^2</f>
        <v>1.4601986903004705E-2</v>
      </c>
      <c r="F49">
        <f>((_xlfn.NORM.S.INV(1-$F$47/2) * $C$49) / ($F$47 * $B$49))^2</f>
        <v>0.63050704037871319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1053.1170267740931</v>
      </c>
      <c r="E55" s="20">
        <f>D55/SQRT(35)</f>
        <v>178.00926718103398</v>
      </c>
      <c r="F55" s="23">
        <f>$B$49-E55</f>
        <v>207514.81263758146</v>
      </c>
      <c r="G55" s="23">
        <f>SUM($B$49,E55)</f>
        <v>207870.83117194354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1254.8663359235325</v>
      </c>
      <c r="E56" s="20">
        <f>D56/SQRT(35)</f>
        <v>212.11112458427147</v>
      </c>
      <c r="F56" s="23">
        <f>$B$49-E56</f>
        <v>207480.71078017823</v>
      </c>
      <c r="G56" s="23">
        <f>SUM($B$49,E56)</f>
        <v>207904.93302934678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67.39717203319708</v>
      </c>
      <c r="E63" s="20">
        <f>D63/SQRT(35)</f>
        <v>11.39220134010526</v>
      </c>
      <c r="F63" s="23">
        <f>$B$48-E63</f>
        <v>8069.7240906348552</v>
      </c>
      <c r="G63" s="23">
        <f>SUM($B$48,E63)</f>
        <v>8092.5084933150656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80.308683812637923</v>
      </c>
      <c r="E64" s="20">
        <f>D64/SQRT(35)</f>
        <v>13.574645163179618</v>
      </c>
      <c r="F64" s="23">
        <f>$B$48-E64</f>
        <v>8067.541646811781</v>
      </c>
      <c r="G64" s="23">
        <f>SUM($B$48,E64)</f>
        <v>8094.6909371381398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6A405-B437-4FCD-B9FD-ABD094E41452}">
  <dimension ref="A1:J64"/>
  <sheetViews>
    <sheetView zoomScaleNormal="100" workbookViewId="0">
      <selection activeCell="G1" sqref="G1:H36"/>
    </sheetView>
  </sheetViews>
  <sheetFormatPr baseColWidth="10" defaultColWidth="8.83203125" defaultRowHeight="15" x14ac:dyDescent="0.2"/>
  <cols>
    <col min="1" max="1" width="15.6640625" style="14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7" width="17.1640625" bestFit="1" customWidth="1"/>
    <col min="8" max="8" width="19" bestFit="1" customWidth="1"/>
    <col min="9" max="10" width="12.1640625" bestFit="1" customWidth="1"/>
    <col min="11" max="11" width="12" bestFit="1" customWidth="1"/>
    <col min="14" max="14" width="41.1640625" bestFit="1" customWidth="1"/>
    <col min="15" max="15" width="4.5" bestFit="1" customWidth="1"/>
    <col min="16" max="16" width="4.6640625" bestFit="1" customWidth="1"/>
    <col min="17" max="17" width="12.33203125" bestFit="1" customWidth="1"/>
    <col min="18" max="18" width="13.5" bestFit="1" customWidth="1"/>
    <col min="19" max="19" width="18.1640625" bestFit="1" customWidth="1"/>
    <col min="20" max="20" width="12" bestFit="1" customWidth="1"/>
  </cols>
  <sheetData>
    <row r="1" spans="1:8" ht="16" x14ac:dyDescent="0.2">
      <c r="A1" s="14" t="s">
        <v>1</v>
      </c>
      <c r="B1" t="s">
        <v>2</v>
      </c>
      <c r="G1" s="26"/>
      <c r="H1" s="26"/>
    </row>
    <row r="2" spans="1:8" x14ac:dyDescent="0.2">
      <c r="A2" s="14">
        <v>31.585657370518</v>
      </c>
      <c r="B2">
        <v>207346.56666667</v>
      </c>
    </row>
    <row r="3" spans="1:8" x14ac:dyDescent="0.2">
      <c r="A3" s="14">
        <v>31.399402390437999</v>
      </c>
      <c r="B3">
        <v>207624.1</v>
      </c>
    </row>
    <row r="4" spans="1:8" x14ac:dyDescent="0.2">
      <c r="A4" s="14">
        <v>32.078187250996002</v>
      </c>
      <c r="B4">
        <v>207444.3</v>
      </c>
    </row>
    <row r="5" spans="1:8" x14ac:dyDescent="0.2">
      <c r="A5" s="14">
        <v>32.046314741035999</v>
      </c>
      <c r="B5">
        <v>206597.26666667001</v>
      </c>
    </row>
    <row r="6" spans="1:8" x14ac:dyDescent="0.2">
      <c r="A6" s="14">
        <v>30.714143426294999</v>
      </c>
      <c r="B6">
        <v>208166.63333333001</v>
      </c>
    </row>
    <row r="7" spans="1:8" x14ac:dyDescent="0.2">
      <c r="A7" s="14">
        <v>30.641932270916001</v>
      </c>
      <c r="B7">
        <v>207943.1</v>
      </c>
    </row>
    <row r="8" spans="1:8" x14ac:dyDescent="0.2">
      <c r="A8" s="14">
        <v>32.873007968126998</v>
      </c>
      <c r="B8">
        <v>206990.7</v>
      </c>
    </row>
    <row r="9" spans="1:8" x14ac:dyDescent="0.2">
      <c r="A9" s="14">
        <v>31.320219123506</v>
      </c>
      <c r="B9">
        <v>206959.66666667</v>
      </c>
    </row>
    <row r="10" spans="1:8" x14ac:dyDescent="0.2">
      <c r="A10" s="14">
        <v>30.695717131474002</v>
      </c>
      <c r="B10">
        <v>209435.3</v>
      </c>
    </row>
    <row r="11" spans="1:8" x14ac:dyDescent="0.2">
      <c r="A11" s="14">
        <v>30.554282868525998</v>
      </c>
      <c r="B11">
        <v>208386.5</v>
      </c>
    </row>
    <row r="12" spans="1:8" x14ac:dyDescent="0.2">
      <c r="A12" s="14">
        <v>31.956175298805</v>
      </c>
      <c r="B12">
        <v>207701.73333332999</v>
      </c>
    </row>
    <row r="13" spans="1:8" x14ac:dyDescent="0.2">
      <c r="A13" s="14">
        <v>31.773406374501999</v>
      </c>
      <c r="B13">
        <v>206708.03333333001</v>
      </c>
    </row>
    <row r="14" spans="1:8" x14ac:dyDescent="0.2">
      <c r="A14" s="14">
        <v>31.957669322708998</v>
      </c>
      <c r="B14">
        <v>207491.63333333001</v>
      </c>
    </row>
    <row r="15" spans="1:8" x14ac:dyDescent="0.2">
      <c r="A15" s="14">
        <v>30.371015936254999</v>
      </c>
      <c r="B15">
        <v>207522.33333333</v>
      </c>
    </row>
    <row r="16" spans="1:8" x14ac:dyDescent="0.2">
      <c r="A16" s="14">
        <v>30.475597609562001</v>
      </c>
      <c r="B16">
        <v>207632.33333333</v>
      </c>
    </row>
    <row r="17" spans="1:2" x14ac:dyDescent="0.2">
      <c r="A17" s="14">
        <v>32.252988047808998</v>
      </c>
      <c r="B17">
        <v>206787.56666667</v>
      </c>
    </row>
    <row r="18" spans="1:2" x14ac:dyDescent="0.2">
      <c r="A18" s="14">
        <v>30.597609561753</v>
      </c>
      <c r="B18">
        <v>207590.46666666999</v>
      </c>
    </row>
    <row r="19" spans="1:2" x14ac:dyDescent="0.2">
      <c r="A19" s="14">
        <v>31.001992031873002</v>
      </c>
      <c r="B19">
        <v>208472.93333333</v>
      </c>
    </row>
    <row r="20" spans="1:2" x14ac:dyDescent="0.2">
      <c r="A20" s="14">
        <v>31.818227091632998</v>
      </c>
      <c r="B20">
        <v>208569.4</v>
      </c>
    </row>
    <row r="21" spans="1:2" x14ac:dyDescent="0.2">
      <c r="A21" s="14">
        <v>29.7046812749</v>
      </c>
      <c r="B21">
        <v>207922.73333332999</v>
      </c>
    </row>
    <row r="22" spans="1:2" x14ac:dyDescent="0.2">
      <c r="A22" s="14">
        <v>31.109561752988</v>
      </c>
      <c r="B22">
        <v>207023.7</v>
      </c>
    </row>
    <row r="23" spans="1:2" x14ac:dyDescent="0.2">
      <c r="A23" s="14">
        <v>32.063745019919999</v>
      </c>
      <c r="B23">
        <v>208295.1</v>
      </c>
    </row>
    <row r="24" spans="1:2" x14ac:dyDescent="0.2">
      <c r="A24" s="14">
        <v>30.197709163347</v>
      </c>
      <c r="B24">
        <v>207414.03333333001</v>
      </c>
    </row>
    <row r="25" spans="1:2" x14ac:dyDescent="0.2">
      <c r="A25" s="14">
        <v>30.963147410358999</v>
      </c>
      <c r="B25">
        <v>207848.36666666999</v>
      </c>
    </row>
    <row r="26" spans="1:2" x14ac:dyDescent="0.2">
      <c r="A26" s="14">
        <v>30.871513944223</v>
      </c>
      <c r="B26">
        <v>207360.46666666999</v>
      </c>
    </row>
    <row r="27" spans="1:2" x14ac:dyDescent="0.2">
      <c r="A27" s="14">
        <v>30.352589641434001</v>
      </c>
      <c r="B27">
        <v>207022.9</v>
      </c>
    </row>
    <row r="28" spans="1:2" x14ac:dyDescent="0.2">
      <c r="A28" s="14">
        <v>31.372011952190999</v>
      </c>
      <c r="B28">
        <v>207732.76666667001</v>
      </c>
    </row>
    <row r="29" spans="1:2" x14ac:dyDescent="0.2">
      <c r="A29" s="14">
        <v>32.344621513943999</v>
      </c>
      <c r="B29">
        <v>207641.3</v>
      </c>
    </row>
    <row r="30" spans="1:2" x14ac:dyDescent="0.2">
      <c r="A30" s="14">
        <v>33.044820717131003</v>
      </c>
      <c r="B30">
        <v>208311.83333333</v>
      </c>
    </row>
    <row r="31" spans="1:2" x14ac:dyDescent="0.2">
      <c r="A31" s="14">
        <v>31.543824701195</v>
      </c>
      <c r="B31">
        <v>207943.46666666999</v>
      </c>
    </row>
    <row r="32" spans="1:2" x14ac:dyDescent="0.2">
      <c r="A32" s="14">
        <v>31.440239043824999</v>
      </c>
      <c r="B32">
        <v>208045.9</v>
      </c>
    </row>
    <row r="33" spans="1:10" x14ac:dyDescent="0.2">
      <c r="A33" s="14">
        <v>30.443725099601998</v>
      </c>
      <c r="B33">
        <v>207938.56666667</v>
      </c>
    </row>
    <row r="34" spans="1:10" x14ac:dyDescent="0.2">
      <c r="A34" s="14">
        <v>32.256972111553999</v>
      </c>
      <c r="B34">
        <v>207779.63333333001</v>
      </c>
    </row>
    <row r="35" spans="1:10" x14ac:dyDescent="0.2">
      <c r="A35" s="14">
        <v>31.882968127489999</v>
      </c>
      <c r="B35">
        <v>208178.13333333001</v>
      </c>
    </row>
    <row r="36" spans="1:10" x14ac:dyDescent="0.2">
      <c r="A36" s="14">
        <v>31.639940239044002</v>
      </c>
      <c r="B36">
        <v>208606.76666667001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A47"/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31.352731929425147</v>
      </c>
      <c r="C48">
        <f>_xlfn.STDEV.S(A2:A36)</f>
        <v>0.79735679783457714</v>
      </c>
      <c r="D48">
        <f>((_xlfn.NORM.S.INV(1-$D$47/2) * $C$48) / ($D$47 * $B$48))^2</f>
        <v>0.17498835054957462</v>
      </c>
      <c r="E48">
        <f>((_xlfn.NORM.S.INV(1-$E$47/2) * $C$48) / ($E$47 * $B$48))^2</f>
        <v>0.99382701352638991</v>
      </c>
      <c r="F48">
        <f>((_xlfn.NORM.S.INV(1-$F$47/2) * $C$48) / ($F$47 * $B$48))^2</f>
        <v>42.912990753196652</v>
      </c>
      <c r="H48">
        <f>_xlfn.NORM.S.INV(1-0.01/2)</f>
        <v>2.5758293035488999</v>
      </c>
      <c r="I48">
        <f>(_xlfn.NORM.S.INV(1-$F$47/2) * $C$48)</f>
        <v>2.0538550052462199</v>
      </c>
      <c r="J48">
        <f>($F$47 * $B$48)</f>
        <v>0.31352731929425148</v>
      </c>
    </row>
    <row r="49" spans="1:7" x14ac:dyDescent="0.2">
      <c r="A49" s="12" t="s">
        <v>9</v>
      </c>
      <c r="B49">
        <f>AVERAGE(B2:B36)</f>
        <v>207726.74952380944</v>
      </c>
      <c r="C49">
        <f>_xlfn.STDEV.S(B2:B36)</f>
        <v>610.43744945482774</v>
      </c>
      <c r="D49">
        <f>((_xlfn.NORM.S.INV(1-$D$47/2) * $C$49) / ($D$47 * $B$49))^2</f>
        <v>2.3364258415484998E-3</v>
      </c>
      <c r="E49">
        <f>((_xlfn.NORM.S.INV(1-$E$47/2) * $C$49) / ($E$47 * $B$49))^2</f>
        <v>1.3269472562827537E-2</v>
      </c>
      <c r="F49">
        <f>((_xlfn.NORM.S.INV(1-$F$47/2) * $C$49) / ($F$47 * $B$49))^2</f>
        <v>0.57296968751925981</v>
      </c>
    </row>
    <row r="53" spans="1:7" x14ac:dyDescent="0.2">
      <c r="A53"/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1004.080252762779</v>
      </c>
      <c r="E55" s="20">
        <f>D55/SQRT(35)</f>
        <v>169.72053954226939</v>
      </c>
      <c r="F55" s="23">
        <f>$B$49-E55</f>
        <v>207557.02898426718</v>
      </c>
      <c r="G55" s="23">
        <f>SUM($B$49,E55)</f>
        <v>207896.47006335171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1196.4354157459518</v>
      </c>
      <c r="E56" s="20">
        <f>D56/SQRT(35)</f>
        <v>202.23449642511454</v>
      </c>
      <c r="F56" s="23">
        <f>$B$49-E56</f>
        <v>207524.51502738433</v>
      </c>
      <c r="G56" s="23">
        <f>SUM($B$49,E56)</f>
        <v>207928.98402023455</v>
      </c>
    </row>
    <row r="57" spans="1:7" x14ac:dyDescent="0.2">
      <c r="A57"/>
    </row>
    <row r="58" spans="1:7" x14ac:dyDescent="0.2">
      <c r="A58"/>
    </row>
    <row r="59" spans="1:7" x14ac:dyDescent="0.2">
      <c r="A59"/>
    </row>
    <row r="60" spans="1:7" x14ac:dyDescent="0.2">
      <c r="A60"/>
    </row>
    <row r="61" spans="1:7" x14ac:dyDescent="0.2">
      <c r="A61"/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1.3115352208926154</v>
      </c>
      <c r="E63" s="20">
        <f>D63/SQRT(35)</f>
        <v>0.22168991443273975</v>
      </c>
      <c r="F63" s="23">
        <f>$B$48-E63</f>
        <v>31.131042014992406</v>
      </c>
      <c r="G63" s="23">
        <f>SUM($B$48,E63)</f>
        <v>31.574421843857888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1.5627906065839559</v>
      </c>
      <c r="E64" s="20">
        <f>D64/SQRT(35)</f>
        <v>0.26415982608083793</v>
      </c>
      <c r="F64" s="23">
        <f>$B$48-E64</f>
        <v>31.088572103344308</v>
      </c>
      <c r="G64" s="23">
        <f>SUM($B$48,E64)</f>
        <v>31.616891755505986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7265-3CF1-42A1-B8F0-54EC33D08CC1}">
  <dimension ref="A1:J64"/>
  <sheetViews>
    <sheetView workbookViewId="0">
      <selection activeCell="E48" sqref="E48"/>
    </sheetView>
  </sheetViews>
  <sheetFormatPr baseColWidth="10" defaultColWidth="8.83203125" defaultRowHeight="15" x14ac:dyDescent="0.2"/>
  <cols>
    <col min="1" max="1" width="18" customWidth="1"/>
    <col min="2" max="2" width="22.6640625" customWidth="1"/>
    <col min="3" max="3" width="15.6640625" customWidth="1"/>
    <col min="4" max="4" width="17.5" bestFit="1" customWidth="1"/>
    <col min="5" max="5" width="15.1640625" customWidth="1"/>
    <col min="6" max="6" width="12.33203125" bestFit="1" customWidth="1"/>
    <col min="7" max="7" width="12.33203125" customWidth="1"/>
    <col min="8" max="8" width="20.5" customWidth="1"/>
    <col min="9" max="9" width="23.5" customWidth="1"/>
    <col min="10" max="10" width="17" customWidth="1"/>
    <col min="12" max="12" width="41.1640625" bestFit="1" customWidth="1"/>
    <col min="13" max="13" width="5" bestFit="1" customWidth="1"/>
    <col min="14" max="14" width="4.6640625" bestFit="1" customWidth="1"/>
    <col min="15" max="15" width="12.33203125" bestFit="1" customWidth="1"/>
    <col min="16" max="16" width="13.5" bestFit="1" customWidth="1"/>
    <col min="17" max="17" width="18.1640625" bestFit="1" customWidth="1"/>
    <col min="18" max="18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31.587649402389999</v>
      </c>
      <c r="B2">
        <v>208285.93333333</v>
      </c>
    </row>
    <row r="3" spans="1:2" x14ac:dyDescent="0.2">
      <c r="A3">
        <v>31.363545816733001</v>
      </c>
      <c r="B3">
        <v>207921.46666666999</v>
      </c>
    </row>
    <row r="4" spans="1:2" x14ac:dyDescent="0.2">
      <c r="A4">
        <v>31.723107569721002</v>
      </c>
      <c r="B4">
        <v>207221.9</v>
      </c>
    </row>
    <row r="5" spans="1:2" x14ac:dyDescent="0.2">
      <c r="A5">
        <v>29.388944223107998</v>
      </c>
      <c r="B5">
        <v>207272.23333332999</v>
      </c>
    </row>
    <row r="6" spans="1:2" x14ac:dyDescent="0.2">
      <c r="A6">
        <v>30.785856573705001</v>
      </c>
      <c r="B6">
        <v>206534</v>
      </c>
    </row>
    <row r="7" spans="1:2" x14ac:dyDescent="0.2">
      <c r="A7">
        <v>31.141932270916001</v>
      </c>
      <c r="B7">
        <v>207836.96666666999</v>
      </c>
    </row>
    <row r="8" spans="1:2" x14ac:dyDescent="0.2">
      <c r="A8">
        <v>30.659362549800999</v>
      </c>
      <c r="B8">
        <v>207765.36666666999</v>
      </c>
    </row>
    <row r="9" spans="1:2" x14ac:dyDescent="0.2">
      <c r="A9">
        <v>30.728585657370999</v>
      </c>
      <c r="B9">
        <v>208543.96666666999</v>
      </c>
    </row>
    <row r="10" spans="1:2" x14ac:dyDescent="0.2">
      <c r="A10">
        <v>31.432768924303002</v>
      </c>
      <c r="B10">
        <v>208640.76666667001</v>
      </c>
    </row>
    <row r="11" spans="1:2" x14ac:dyDescent="0.2">
      <c r="A11">
        <v>28.656872509959999</v>
      </c>
      <c r="B11">
        <v>207826.23333332999</v>
      </c>
    </row>
    <row r="12" spans="1:2" x14ac:dyDescent="0.2">
      <c r="A12">
        <v>29.202689243028001</v>
      </c>
      <c r="B12">
        <v>208146.6</v>
      </c>
    </row>
    <row r="13" spans="1:2" x14ac:dyDescent="0.2">
      <c r="A13">
        <v>31.828187250995999</v>
      </c>
      <c r="B13">
        <v>207538.23333332999</v>
      </c>
    </row>
    <row r="14" spans="1:2" x14ac:dyDescent="0.2">
      <c r="A14">
        <v>30.566733067729</v>
      </c>
      <c r="B14">
        <v>207105.06666667</v>
      </c>
    </row>
    <row r="15" spans="1:2" x14ac:dyDescent="0.2">
      <c r="A15">
        <v>30.402888446215002</v>
      </c>
      <c r="B15">
        <v>206745.26666667001</v>
      </c>
    </row>
    <row r="16" spans="1:2" x14ac:dyDescent="0.2">
      <c r="A16">
        <v>30.47609561753</v>
      </c>
      <c r="B16">
        <v>207769.13333333001</v>
      </c>
    </row>
    <row r="17" spans="1:2" x14ac:dyDescent="0.2">
      <c r="A17">
        <v>30.207669322708998</v>
      </c>
      <c r="B17">
        <v>207736.03333333001</v>
      </c>
    </row>
    <row r="18" spans="1:2" x14ac:dyDescent="0.2">
      <c r="A18">
        <v>29.771912350598001</v>
      </c>
      <c r="B18">
        <v>207711.33333333</v>
      </c>
    </row>
    <row r="19" spans="1:2" x14ac:dyDescent="0.2">
      <c r="A19">
        <v>30.138944223107998</v>
      </c>
      <c r="B19">
        <v>208633.96666666999</v>
      </c>
    </row>
    <row r="20" spans="1:2" x14ac:dyDescent="0.2">
      <c r="A20">
        <v>31.110059760955998</v>
      </c>
      <c r="B20">
        <v>207418.33333333</v>
      </c>
    </row>
    <row r="21" spans="1:2" x14ac:dyDescent="0.2">
      <c r="A21">
        <v>30.047808764940001</v>
      </c>
      <c r="B21">
        <v>207212.06666667</v>
      </c>
    </row>
    <row r="22" spans="1:2" x14ac:dyDescent="0.2">
      <c r="A22">
        <v>30.060258964142999</v>
      </c>
      <c r="B22">
        <v>208257.76666667001</v>
      </c>
    </row>
    <row r="23" spans="1:2" x14ac:dyDescent="0.2">
      <c r="A23">
        <v>30.858067729083999</v>
      </c>
      <c r="B23">
        <v>209731.5</v>
      </c>
    </row>
    <row r="24" spans="1:2" x14ac:dyDescent="0.2">
      <c r="A24">
        <v>30.747509960159</v>
      </c>
      <c r="B24">
        <v>207040.83333333</v>
      </c>
    </row>
    <row r="25" spans="1:2" x14ac:dyDescent="0.2">
      <c r="A25">
        <v>29.767430278884</v>
      </c>
      <c r="B25">
        <v>207494.06666667</v>
      </c>
    </row>
    <row r="26" spans="1:2" x14ac:dyDescent="0.2">
      <c r="A26">
        <v>29.330677290836999</v>
      </c>
      <c r="B26">
        <v>207532.2</v>
      </c>
    </row>
    <row r="27" spans="1:2" x14ac:dyDescent="0.2">
      <c r="A27">
        <v>29.664342629482</v>
      </c>
      <c r="B27">
        <v>207075.3</v>
      </c>
    </row>
    <row r="28" spans="1:2" x14ac:dyDescent="0.2">
      <c r="A28">
        <v>30.257968127489999</v>
      </c>
      <c r="B28">
        <v>208459.36666666999</v>
      </c>
    </row>
    <row r="29" spans="1:2" x14ac:dyDescent="0.2">
      <c r="A29">
        <v>31.163844621513999</v>
      </c>
      <c r="B29">
        <v>208226.43333333</v>
      </c>
    </row>
    <row r="30" spans="1:2" x14ac:dyDescent="0.2">
      <c r="A30">
        <v>28.217629482071999</v>
      </c>
      <c r="B30">
        <v>207467.96666666999</v>
      </c>
    </row>
    <row r="31" spans="1:2" x14ac:dyDescent="0.2">
      <c r="A31">
        <v>30.06922310757</v>
      </c>
      <c r="B31">
        <v>207140.13333333001</v>
      </c>
    </row>
    <row r="32" spans="1:2" x14ac:dyDescent="0.2">
      <c r="A32">
        <v>30.544820717131</v>
      </c>
      <c r="B32">
        <v>207396.03333333001</v>
      </c>
    </row>
    <row r="33" spans="1:10" x14ac:dyDescent="0.2">
      <c r="A33">
        <v>30.734561752988</v>
      </c>
      <c r="B33">
        <v>208785.7</v>
      </c>
    </row>
    <row r="34" spans="1:10" x14ac:dyDescent="0.2">
      <c r="A34">
        <v>30.259462151394001</v>
      </c>
      <c r="B34">
        <v>207518.66666667</v>
      </c>
    </row>
    <row r="35" spans="1:10" x14ac:dyDescent="0.2">
      <c r="A35">
        <v>29.957171314741</v>
      </c>
      <c r="B35">
        <v>207752.06666667</v>
      </c>
    </row>
    <row r="36" spans="1:10" x14ac:dyDescent="0.2">
      <c r="A36">
        <v>30.035358565736999</v>
      </c>
      <c r="B36">
        <v>208168.9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30.3682840068298</v>
      </c>
      <c r="C48">
        <f>_xlfn.STDEV.S(A2:A36)</f>
        <v>0.82567790239971073</v>
      </c>
      <c r="D48">
        <f>((_xlfn.NORM.S.INV(1-$D$47/2) * $C$48) / ($D$47 * $B$48))^2</f>
        <v>0.20000245767716471</v>
      </c>
      <c r="E48">
        <f>((_xlfn.NORM.S.INV(1-$E$47/2) * $C$48) / ($E$47 * $B$48))^2</f>
        <v>1.1358918727273979</v>
      </c>
      <c r="F48">
        <f>((_xlfn.NORM.S.INV(1-$F$47/2) * $C$48) / ($F$47 * $B$48))^2</f>
        <v>49.047285661940506</v>
      </c>
      <c r="H48">
        <f>_xlfn.NORM.S.INV(1-0.01/2)</f>
        <v>2.5758293035488999</v>
      </c>
      <c r="I48">
        <f>(_xlfn.NORM.S.INV(1-$F$47/2) * $C$48)</f>
        <v>2.1268053362939634</v>
      </c>
      <c r="J48">
        <f>($F$47 * $B$48)</f>
        <v>0.30368284006829799</v>
      </c>
    </row>
    <row r="49" spans="1:7" x14ac:dyDescent="0.2">
      <c r="A49" s="12" t="s">
        <v>9</v>
      </c>
      <c r="B49">
        <f>AVERAGE(B2:B36)</f>
        <v>207768.90857142888</v>
      </c>
      <c r="C49">
        <f>_xlfn.STDEV.S(B2:B36)</f>
        <v>650.82864377065334</v>
      </c>
      <c r="D49">
        <f>((_xlfn.NORM.S.INV(1-$D$47/2) * $C$49) / ($D$47 * $B$49))^2</f>
        <v>2.6547688540910948E-3</v>
      </c>
      <c r="E49">
        <f>((_xlfn.NORM.S.INV(1-$E$47/2) * $C$49) / ($E$47 * $B$49))^2</f>
        <v>1.507746654893332E-2</v>
      </c>
      <c r="F49">
        <f>((_xlfn.NORM.S.INV(1-$F$47/2) * $C$49) / ($F$47 * $B$49))^2</f>
        <v>0.65103803155862483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1070.5178552300663</v>
      </c>
      <c r="E55" s="20">
        <f>D55/SQRT(35)</f>
        <v>180.95054402210732</v>
      </c>
      <c r="F55" s="23">
        <f>$B$49-E55</f>
        <v>207587.95802740677</v>
      </c>
      <c r="G55" s="23">
        <f>SUM($B$49,E55)</f>
        <v>207949.85911545099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1275.6007018975288</v>
      </c>
      <c r="E56" s="20">
        <f>D56/SQRT(35)</f>
        <v>215.61587210867572</v>
      </c>
      <c r="F56" s="23">
        <f>$B$49-E56</f>
        <v>207553.29269932021</v>
      </c>
      <c r="G56" s="23">
        <f>SUM($B$49,E56)</f>
        <v>207984.52444353755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1.3581192924558474</v>
      </c>
      <c r="E63" s="20">
        <f>D63/SQRT(35)</f>
        <v>0.22956405968958837</v>
      </c>
      <c r="F63" s="23">
        <f>$B$48-E63</f>
        <v>30.13871994714021</v>
      </c>
      <c r="G63" s="23">
        <f>SUM($B$48,E63)</f>
        <v>30.59784806651939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1.6182989515340105</v>
      </c>
      <c r="E64" s="20">
        <f>D64/SQRT(35)</f>
        <v>0.27354244886233325</v>
      </c>
      <c r="F64" s="23">
        <f>$B$48-E64</f>
        <v>30.094741557967467</v>
      </c>
      <c r="G64" s="23">
        <f>SUM($B$48,E64)</f>
        <v>30.641826455692133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A3C1-734F-43EB-BEB2-0B7CFB98FE26}">
  <dimension ref="A1:J64"/>
  <sheetViews>
    <sheetView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  <col min="13" max="13" width="41.1640625" bestFit="1" customWidth="1"/>
    <col min="14" max="14" width="4.5" bestFit="1" customWidth="1"/>
    <col min="15" max="15" width="4.6640625" bestFit="1" customWidth="1"/>
    <col min="16" max="16" width="12.33203125" bestFit="1" customWidth="1"/>
    <col min="17" max="17" width="13.5" bestFit="1" customWidth="1"/>
    <col min="18" max="18" width="18.1640625" bestFit="1" customWidth="1"/>
    <col min="19" max="19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8564.8851261620002</v>
      </c>
      <c r="B2">
        <v>39216.633333332997</v>
      </c>
    </row>
    <row r="3" spans="1:2" x14ac:dyDescent="0.2">
      <c r="A3">
        <v>8552.2045152722003</v>
      </c>
      <c r="B3">
        <v>39495.199999999997</v>
      </c>
    </row>
    <row r="4" spans="1:2" x14ac:dyDescent="0.2">
      <c r="A4">
        <v>8569.4110225763998</v>
      </c>
      <c r="B4">
        <v>39145.800000000003</v>
      </c>
    </row>
    <row r="5" spans="1:2" x14ac:dyDescent="0.2">
      <c r="A5">
        <v>8587.9375830012996</v>
      </c>
      <c r="B5">
        <v>39399.9</v>
      </c>
    </row>
    <row r="6" spans="1:2" x14ac:dyDescent="0.2">
      <c r="A6">
        <v>8554.9375830012996</v>
      </c>
      <c r="B6">
        <v>39420.466666667002</v>
      </c>
    </row>
    <row r="7" spans="1:2" x14ac:dyDescent="0.2">
      <c r="A7">
        <v>8539.5249003984009</v>
      </c>
      <c r="B7">
        <v>39331.599999999999</v>
      </c>
    </row>
    <row r="8" spans="1:2" x14ac:dyDescent="0.2">
      <c r="A8">
        <v>8595.7390438247003</v>
      </c>
      <c r="B8">
        <v>39323.9</v>
      </c>
    </row>
    <row r="9" spans="1:2" x14ac:dyDescent="0.2">
      <c r="A9">
        <v>8590.9833997343994</v>
      </c>
      <c r="B9">
        <v>39456.666666666999</v>
      </c>
    </row>
    <row r="10" spans="1:2" x14ac:dyDescent="0.2">
      <c r="A10">
        <v>8602.9455511287997</v>
      </c>
      <c r="B10">
        <v>39434.666666666999</v>
      </c>
    </row>
    <row r="11" spans="1:2" x14ac:dyDescent="0.2">
      <c r="A11">
        <v>8625.7812084993002</v>
      </c>
      <c r="B11">
        <v>39368</v>
      </c>
    </row>
    <row r="12" spans="1:2" x14ac:dyDescent="0.2">
      <c r="A12">
        <v>8573.4724435590997</v>
      </c>
      <c r="B12">
        <v>39419.533333332998</v>
      </c>
    </row>
    <row r="13" spans="1:2" x14ac:dyDescent="0.2">
      <c r="A13">
        <v>8570.9966799469003</v>
      </c>
      <c r="B13">
        <v>39508.866666667003</v>
      </c>
    </row>
    <row r="14" spans="1:2" x14ac:dyDescent="0.2">
      <c r="A14">
        <v>8589.2164674635005</v>
      </c>
      <c r="B14">
        <v>39315.333333333001</v>
      </c>
    </row>
    <row r="15" spans="1:2" x14ac:dyDescent="0.2">
      <c r="A15">
        <v>8573.3668658699007</v>
      </c>
      <c r="B15">
        <v>39469.033333332998</v>
      </c>
    </row>
    <row r="16" spans="1:2" x14ac:dyDescent="0.2">
      <c r="A16">
        <v>8579.3930942895004</v>
      </c>
      <c r="B16">
        <v>39291.199999999997</v>
      </c>
    </row>
    <row r="17" spans="1:2" x14ac:dyDescent="0.2">
      <c r="A17">
        <v>8571.9960159363</v>
      </c>
      <c r="B17">
        <v>39412.800000000003</v>
      </c>
    </row>
    <row r="18" spans="1:2" x14ac:dyDescent="0.2">
      <c r="A18">
        <v>8584.7370517927993</v>
      </c>
      <c r="B18">
        <v>39383.4</v>
      </c>
    </row>
    <row r="19" spans="1:2" x14ac:dyDescent="0.2">
      <c r="A19">
        <v>8543.3861221780007</v>
      </c>
      <c r="B19">
        <v>39350.633333332997</v>
      </c>
    </row>
    <row r="20" spans="1:2" x14ac:dyDescent="0.2">
      <c r="A20">
        <v>8567.7217795484994</v>
      </c>
      <c r="B20">
        <v>39490.766666666997</v>
      </c>
    </row>
    <row r="21" spans="1:2" x14ac:dyDescent="0.2">
      <c r="A21">
        <v>8508.1341301460998</v>
      </c>
      <c r="B21">
        <v>39470.233333333003</v>
      </c>
    </row>
    <row r="22" spans="1:2" x14ac:dyDescent="0.2">
      <c r="A22">
        <v>8551.1298140769995</v>
      </c>
      <c r="B22">
        <v>39415.966666667002</v>
      </c>
    </row>
    <row r="23" spans="1:2" x14ac:dyDescent="0.2">
      <c r="A23">
        <v>8614.7954847277997</v>
      </c>
      <c r="B23">
        <v>39291.033333332998</v>
      </c>
    </row>
    <row r="24" spans="1:2" x14ac:dyDescent="0.2">
      <c r="A24">
        <v>8585.2387118194001</v>
      </c>
      <c r="B24">
        <v>39389.599999999999</v>
      </c>
    </row>
    <row r="25" spans="1:2" x14ac:dyDescent="0.2">
      <c r="A25">
        <v>8569.5561088976992</v>
      </c>
      <c r="B25">
        <v>39418</v>
      </c>
    </row>
    <row r="26" spans="1:2" x14ac:dyDescent="0.2">
      <c r="A26">
        <v>8592.4893758300004</v>
      </c>
      <c r="B26">
        <v>39445.966666667002</v>
      </c>
    </row>
    <row r="27" spans="1:2" x14ac:dyDescent="0.2">
      <c r="A27">
        <v>8571.7045152722003</v>
      </c>
      <c r="B27">
        <v>39313.333333333001</v>
      </c>
    </row>
    <row r="28" spans="1:2" x14ac:dyDescent="0.2">
      <c r="A28">
        <v>8591.4963479416001</v>
      </c>
      <c r="B28">
        <v>39371.5</v>
      </c>
    </row>
    <row r="29" spans="1:2" x14ac:dyDescent="0.2">
      <c r="A29">
        <v>8566.0242363878006</v>
      </c>
      <c r="B29">
        <v>39451.199999999997</v>
      </c>
    </row>
    <row r="30" spans="1:2" x14ac:dyDescent="0.2">
      <c r="A30">
        <v>8571.2705843293006</v>
      </c>
      <c r="B30">
        <v>39195.5</v>
      </c>
    </row>
    <row r="31" spans="1:2" x14ac:dyDescent="0.2">
      <c r="A31">
        <v>8553.8270252324</v>
      </c>
      <c r="B31">
        <v>39283.033333332998</v>
      </c>
    </row>
    <row r="32" spans="1:2" x14ac:dyDescent="0.2">
      <c r="A32">
        <v>8572.8250332004991</v>
      </c>
      <c r="B32">
        <v>39212.5</v>
      </c>
    </row>
    <row r="33" spans="1:10" x14ac:dyDescent="0.2">
      <c r="A33">
        <v>8593.7592961487007</v>
      </c>
      <c r="B33">
        <v>39356.633333332997</v>
      </c>
    </row>
    <row r="34" spans="1:10" x14ac:dyDescent="0.2">
      <c r="A34">
        <v>8583.0292164674993</v>
      </c>
      <c r="B34">
        <v>39487.233333333003</v>
      </c>
    </row>
    <row r="35" spans="1:10" x14ac:dyDescent="0.2">
      <c r="A35">
        <v>8554.5713811420992</v>
      </c>
      <c r="B35">
        <v>39330.233333333003</v>
      </c>
    </row>
    <row r="36" spans="1:10" x14ac:dyDescent="0.2">
      <c r="A36">
        <v>8631.2885126162</v>
      </c>
      <c r="B36">
        <v>39294.466666667002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8575.7078922405581</v>
      </c>
      <c r="C48">
        <f>_xlfn.STDEV.S(A2:A36)</f>
        <v>24.135278060384927</v>
      </c>
      <c r="D48">
        <f>((_xlfn.NORM.S.INV(1-$D$47/2) * $C$48) / ($D$47 * $B$48))^2</f>
        <v>2.1429851805757965E-3</v>
      </c>
      <c r="E48">
        <f>((_xlfn.NORM.S.INV(1-$E$47/2) * $C$48) / ($E$47 * $B$48))^2</f>
        <v>1.2170847689884304E-2</v>
      </c>
      <c r="F48">
        <f>((_xlfn.NORM.S.INV(1-$F$47/2) * $C$48) / ($F$47 * $B$48))^2</f>
        <v>0.52553157367029169</v>
      </c>
      <c r="H48">
        <f>_xlfn.NORM.S.INV(1-0.01/2)</f>
        <v>2.5758293035488999</v>
      </c>
      <c r="I48">
        <f>(_xlfn.NORM.S.INV(1-$F$47/2) * $C$48)</f>
        <v>62.168356477240351</v>
      </c>
      <c r="J48">
        <f>($F$47 * $B$48)</f>
        <v>85.757078922405583</v>
      </c>
    </row>
    <row r="49" spans="1:7" x14ac:dyDescent="0.2">
      <c r="A49" s="12" t="s">
        <v>9</v>
      </c>
      <c r="B49">
        <f>AVERAGE(B2:B36)</f>
        <v>39370.309523809483</v>
      </c>
      <c r="C49">
        <f>_xlfn.STDEV.S(B2:B36)</f>
        <v>91.811866311119601</v>
      </c>
      <c r="D49">
        <f>((_xlfn.NORM.S.INV(1-$D$47/2) * $C$49) / ($D$47 * $B$49))^2</f>
        <v>1.4713448941666622E-3</v>
      </c>
      <c r="E49">
        <f>((_xlfn.NORM.S.INV(1-$E$47/2) * $C$49) / ($E$47 * $B$49))^2</f>
        <v>8.3563408503738862E-3</v>
      </c>
      <c r="F49">
        <f>((_xlfn.NORM.S.INV(1-$F$47/2) * $C$49) / ($F$47 * $B$49))^2</f>
        <v>0.36082293272573823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151.01708129902869</v>
      </c>
      <c r="E55" s="20">
        <f>D55/SQRT(35)</f>
        <v>25.526545759311279</v>
      </c>
      <c r="F55" s="23">
        <f>$B$49-E55</f>
        <v>39344.782978050171</v>
      </c>
      <c r="G55" s="23">
        <f>SUM($B$49,E55)</f>
        <v>39395.836069568795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179.9479513232007</v>
      </c>
      <c r="E56" s="20">
        <f>D56/SQRT(35)</f>
        <v>30.416755338096614</v>
      </c>
      <c r="F56" s="23">
        <f>$B$49-E56</f>
        <v>39339.892768471385</v>
      </c>
      <c r="G56" s="23">
        <f>SUM($B$49,E56)</f>
        <v>39400.72627914758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39.698999655106427</v>
      </c>
      <c r="E63" s="20">
        <f>D63/SQRT(35)</f>
        <v>6.7103556933958215</v>
      </c>
      <c r="F63" s="23">
        <f>$B$48-E63</f>
        <v>8568.9975365471619</v>
      </c>
      <c r="G63" s="23">
        <f>SUM($B$48,E63)</f>
        <v>8582.4182479339543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47.304275755214178</v>
      </c>
      <c r="E64" s="20">
        <f>D64/SQRT(35)</f>
        <v>7.9958819842740549</v>
      </c>
      <c r="F64" s="23">
        <f>$B$48-E64</f>
        <v>8567.712010256284</v>
      </c>
      <c r="G64" s="23">
        <f>SUM($B$48,E64)</f>
        <v>8583.7037742248322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9E54-5D3E-42A6-BE43-5ED5CD9312D9}">
  <dimension ref="A1:J64"/>
  <sheetViews>
    <sheetView topLeftCell="A27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  <col min="13" max="13" width="41.1640625" bestFit="1" customWidth="1"/>
    <col min="14" max="14" width="4.5" bestFit="1" customWidth="1"/>
    <col min="15" max="15" width="4.6640625" bestFit="1" customWidth="1"/>
    <col min="16" max="16" width="12.33203125" bestFit="1" customWidth="1"/>
    <col min="17" max="17" width="13.5" bestFit="1" customWidth="1"/>
    <col min="18" max="18" width="18.1640625" bestFit="1" customWidth="1"/>
    <col min="19" max="19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123.86288180611</v>
      </c>
      <c r="B2">
        <v>310279.93333332997</v>
      </c>
    </row>
    <row r="3" spans="1:2" x14ac:dyDescent="0.2">
      <c r="A3">
        <v>120.81905710491</v>
      </c>
      <c r="B3">
        <v>310046.53333333001</v>
      </c>
    </row>
    <row r="4" spans="1:2" x14ac:dyDescent="0.2">
      <c r="A4">
        <v>120.78386454183</v>
      </c>
      <c r="B4">
        <v>309920.56666667003</v>
      </c>
    </row>
    <row r="5" spans="1:2" x14ac:dyDescent="0.2">
      <c r="A5">
        <v>132.13479415671</v>
      </c>
      <c r="B5">
        <v>311145.96666666999</v>
      </c>
    </row>
    <row r="6" spans="1:2" x14ac:dyDescent="0.2">
      <c r="A6">
        <v>115.54017264276</v>
      </c>
      <c r="B6">
        <v>307927.73333333002</v>
      </c>
    </row>
    <row r="7" spans="1:2" x14ac:dyDescent="0.2">
      <c r="A7">
        <v>118.49136786189</v>
      </c>
      <c r="B7">
        <v>307654</v>
      </c>
    </row>
    <row r="8" spans="1:2" x14ac:dyDescent="0.2">
      <c r="A8">
        <v>129.28220451527</v>
      </c>
      <c r="B8">
        <v>309439.36666667002</v>
      </c>
    </row>
    <row r="9" spans="1:2" x14ac:dyDescent="0.2">
      <c r="A9">
        <v>134.97111553785001</v>
      </c>
      <c r="B9">
        <v>311084.83333333</v>
      </c>
    </row>
    <row r="10" spans="1:2" x14ac:dyDescent="0.2">
      <c r="A10">
        <v>116.34229747676</v>
      </c>
      <c r="B10">
        <v>308927.06666667003</v>
      </c>
    </row>
    <row r="11" spans="1:2" x14ac:dyDescent="0.2">
      <c r="A11">
        <v>116.35391766268</v>
      </c>
      <c r="B11">
        <v>310051.73333333002</v>
      </c>
    </row>
    <row r="12" spans="1:2" x14ac:dyDescent="0.2">
      <c r="A12">
        <v>118.85491367861999</v>
      </c>
      <c r="B12">
        <v>310500.66666667</v>
      </c>
    </row>
    <row r="13" spans="1:2" x14ac:dyDescent="0.2">
      <c r="A13">
        <v>124.48539176627</v>
      </c>
      <c r="B13">
        <v>308789.09999999998</v>
      </c>
    </row>
    <row r="14" spans="1:2" x14ac:dyDescent="0.2">
      <c r="A14">
        <v>110.48240371846001</v>
      </c>
      <c r="B14">
        <v>310264.13333332998</v>
      </c>
    </row>
    <row r="15" spans="1:2" x14ac:dyDescent="0.2">
      <c r="A15">
        <v>124.58333333333</v>
      </c>
      <c r="B15">
        <v>309971.59999999998</v>
      </c>
    </row>
    <row r="16" spans="1:2" x14ac:dyDescent="0.2">
      <c r="A16">
        <v>128.07503320052999</v>
      </c>
      <c r="B16">
        <v>308572.7</v>
      </c>
    </row>
    <row r="17" spans="1:2" x14ac:dyDescent="0.2">
      <c r="A17">
        <v>121.08067729084</v>
      </c>
      <c r="B17">
        <v>311248.33333333</v>
      </c>
    </row>
    <row r="18" spans="1:2" x14ac:dyDescent="0.2">
      <c r="A18">
        <v>123.9916998672</v>
      </c>
      <c r="B18">
        <v>310129.5</v>
      </c>
    </row>
    <row r="19" spans="1:2" x14ac:dyDescent="0.2">
      <c r="A19">
        <v>112.7775564409</v>
      </c>
      <c r="B19">
        <v>308543.13333332998</v>
      </c>
    </row>
    <row r="20" spans="1:2" x14ac:dyDescent="0.2">
      <c r="A20">
        <v>114.68359893758</v>
      </c>
      <c r="B20">
        <v>309838.36666667002</v>
      </c>
    </row>
    <row r="21" spans="1:2" x14ac:dyDescent="0.2">
      <c r="A21">
        <v>118.24402390438</v>
      </c>
      <c r="B21">
        <v>310023.40000000002</v>
      </c>
    </row>
    <row r="22" spans="1:2" x14ac:dyDescent="0.2">
      <c r="A22">
        <v>129.69654714475001</v>
      </c>
      <c r="B22">
        <v>308551.5</v>
      </c>
    </row>
    <row r="23" spans="1:2" x14ac:dyDescent="0.2">
      <c r="A23">
        <v>111.24402390438</v>
      </c>
      <c r="B23">
        <v>308045.3</v>
      </c>
    </row>
    <row r="24" spans="1:2" x14ac:dyDescent="0.2">
      <c r="A24">
        <v>113.76958831341</v>
      </c>
      <c r="B24">
        <v>309667.63333332998</v>
      </c>
    </row>
    <row r="25" spans="1:2" x14ac:dyDescent="0.2">
      <c r="A25">
        <v>117.62948207171</v>
      </c>
      <c r="B25">
        <v>310758.2</v>
      </c>
    </row>
    <row r="26" spans="1:2" x14ac:dyDescent="0.2">
      <c r="A26">
        <v>110.44422310757</v>
      </c>
      <c r="B26">
        <v>310144.93333332997</v>
      </c>
    </row>
    <row r="27" spans="1:2" x14ac:dyDescent="0.2">
      <c r="A27">
        <v>118.30278884462</v>
      </c>
      <c r="B27">
        <v>309426.7</v>
      </c>
    </row>
    <row r="28" spans="1:2" x14ac:dyDescent="0.2">
      <c r="A28">
        <v>110.7416998672</v>
      </c>
      <c r="B28">
        <v>310966.53333333001</v>
      </c>
    </row>
    <row r="29" spans="1:2" x14ac:dyDescent="0.2">
      <c r="A29">
        <v>126.62948207171</v>
      </c>
      <c r="B29">
        <v>310782.3</v>
      </c>
    </row>
    <row r="30" spans="1:2" x14ac:dyDescent="0.2">
      <c r="A30">
        <v>117.80079681274999</v>
      </c>
      <c r="B30">
        <v>310710.96666666999</v>
      </c>
    </row>
    <row r="31" spans="1:2" x14ac:dyDescent="0.2">
      <c r="A31">
        <v>120.61520584329</v>
      </c>
      <c r="B31">
        <v>308384.06666667003</v>
      </c>
    </row>
    <row r="32" spans="1:2" x14ac:dyDescent="0.2">
      <c r="A32">
        <v>122.22509960159</v>
      </c>
      <c r="B32">
        <v>310183.7</v>
      </c>
    </row>
    <row r="33" spans="1:10" x14ac:dyDescent="0.2">
      <c r="A33">
        <v>130.93393094289999</v>
      </c>
      <c r="B33">
        <v>308619.83333333</v>
      </c>
    </row>
    <row r="34" spans="1:10" x14ac:dyDescent="0.2">
      <c r="A34">
        <v>123.21978751659999</v>
      </c>
      <c r="B34">
        <v>310883.16666667</v>
      </c>
    </row>
    <row r="35" spans="1:10" x14ac:dyDescent="0.2">
      <c r="A35">
        <v>128.07005312084999</v>
      </c>
      <c r="B35">
        <v>310784.43333332997</v>
      </c>
    </row>
    <row r="36" spans="1:10" x14ac:dyDescent="0.2">
      <c r="A36">
        <v>116.55179282869</v>
      </c>
      <c r="B36">
        <v>307882.59999999998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120.67756592676857</v>
      </c>
      <c r="C48">
        <f>_xlfn.STDEV.S(A2:A36)</f>
        <v>6.556208966410666</v>
      </c>
      <c r="D48">
        <f>((_xlfn.NORM.S.INV(1-$D$47/2) * $C$48) / ($D$47 * $B$48))^2</f>
        <v>0.79855899271692832</v>
      </c>
      <c r="E48">
        <f>((_xlfn.NORM.S.INV(1-$E$47/2) * $C$48) / ($E$47 * $B$48))^2</f>
        <v>4.5353276167470904</v>
      </c>
      <c r="F48">
        <f>((_xlfn.NORM.S.INV(1-$F$47/2) * $C$48) / ($F$47 * $B$48))^2</f>
        <v>195.83334869274753</v>
      </c>
      <c r="H48">
        <f>_xlfn.NORM.S.INV(1-0.01/2)</f>
        <v>2.5758293035488999</v>
      </c>
      <c r="I48">
        <f>(_xlfn.NORM.S.INV(1-$F$47/2) * $C$48)</f>
        <v>16.88767517587064</v>
      </c>
      <c r="J48">
        <f>($F$47 * $B$48)</f>
        <v>1.2067756592676857</v>
      </c>
    </row>
    <row r="49" spans="1:7" x14ac:dyDescent="0.2">
      <c r="A49" s="12" t="s">
        <v>9</v>
      </c>
      <c r="B49">
        <f>AVERAGE(B2:B36)</f>
        <v>309718.58666666632</v>
      </c>
      <c r="C49">
        <f>_xlfn.STDEV.S(B2:B36)</f>
        <v>1057.9462598691111</v>
      </c>
      <c r="D49">
        <f>((_xlfn.NORM.S.INV(1-$D$47/2) * $C$49) / ($D$47 * $B$49))^2</f>
        <v>3.1568008955750329E-3</v>
      </c>
      <c r="E49">
        <f>((_xlfn.NORM.S.INV(1-$E$47/2) * $C$49) / ($E$47 * $B$49))^2</f>
        <v>1.7928702090702662E-2</v>
      </c>
      <c r="F49">
        <f>((_xlfn.NORM.S.INV(1-$F$47/2) * $C$49) / ($F$47 * $B$49))^2</f>
        <v>0.7741530634241619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1740.1667426654515</v>
      </c>
      <c r="E55" s="20">
        <f>D55/SQRT(35)</f>
        <v>294.141865300154</v>
      </c>
      <c r="F55" s="23">
        <f>$B$49-E55</f>
        <v>309424.44480136619</v>
      </c>
      <c r="G55" s="23">
        <f>SUM($B$49,E55)</f>
        <v>310012.72853196645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2073.5365669223102</v>
      </c>
      <c r="E56" s="20">
        <f>D56/SQRT(35)</f>
        <v>350.49165037391037</v>
      </c>
      <c r="F56" s="23">
        <f>$B$49-E56</f>
        <v>309368.09501629241</v>
      </c>
      <c r="G56" s="23">
        <f>SUM($B$49,E56)</f>
        <v>310069.07831704023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10.784004097452343</v>
      </c>
      <c r="E63" s="20">
        <f>D63/SQRT(35)</f>
        <v>1.8228293891943208</v>
      </c>
      <c r="F63" s="23">
        <f>$B$48-E63</f>
        <v>118.85473653757424</v>
      </c>
      <c r="G63" s="23">
        <f>SUM($B$48,E63)</f>
        <v>122.50039531596289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12.849933449283474</v>
      </c>
      <c r="E64" s="20">
        <f>D64/SQRT(35)</f>
        <v>2.1720351855280424</v>
      </c>
      <c r="F64" s="23">
        <f>$B$48-E64</f>
        <v>118.50553074124052</v>
      </c>
      <c r="G64" s="23">
        <f>SUM($B$48,E64)</f>
        <v>122.84960111229661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4D710-95F7-4458-B66A-DF06FC5913A2}">
  <dimension ref="A1:J64"/>
  <sheetViews>
    <sheetView zoomScaleNormal="100" workbookViewId="0">
      <selection activeCell="E55" sqref="E55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  <col min="13" max="13" width="41.1640625" bestFit="1" customWidth="1"/>
    <col min="14" max="14" width="4.5" bestFit="1" customWidth="1"/>
    <col min="15" max="15" width="4.6640625" bestFit="1" customWidth="1"/>
    <col min="16" max="16" width="12.33203125" bestFit="1" customWidth="1"/>
    <col min="17" max="17" width="13.5" bestFit="1" customWidth="1"/>
    <col min="18" max="18" width="18.1640625" bestFit="1" customWidth="1"/>
    <col min="19" max="19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46.263612217795</v>
      </c>
      <c r="B2">
        <v>311349.53333333001</v>
      </c>
    </row>
    <row r="3" spans="1:2" x14ac:dyDescent="0.2">
      <c r="A3">
        <v>47.746679946878999</v>
      </c>
      <c r="B3">
        <v>312071.93333332997</v>
      </c>
    </row>
    <row r="4" spans="1:2" x14ac:dyDescent="0.2">
      <c r="A4">
        <v>46.946547144754</v>
      </c>
      <c r="B4">
        <v>310818.26666666998</v>
      </c>
    </row>
    <row r="5" spans="1:2" x14ac:dyDescent="0.2">
      <c r="A5">
        <v>45.388778220451997</v>
      </c>
      <c r="B5">
        <v>310740.36666667002</v>
      </c>
    </row>
    <row r="6" spans="1:2" x14ac:dyDescent="0.2">
      <c r="A6">
        <v>47.797144754316001</v>
      </c>
      <c r="B6">
        <v>311719.3</v>
      </c>
    </row>
    <row r="7" spans="1:2" x14ac:dyDescent="0.2">
      <c r="A7">
        <v>44.873505976095998</v>
      </c>
      <c r="B7">
        <v>311320.46666666999</v>
      </c>
    </row>
    <row r="8" spans="1:2" x14ac:dyDescent="0.2">
      <c r="A8">
        <v>45.311752988047999</v>
      </c>
      <c r="B8">
        <v>309395.93333332997</v>
      </c>
    </row>
    <row r="9" spans="1:2" x14ac:dyDescent="0.2">
      <c r="A9">
        <v>48.718127490039997</v>
      </c>
      <c r="B9">
        <v>311030.03333333001</v>
      </c>
    </row>
    <row r="10" spans="1:2" x14ac:dyDescent="0.2">
      <c r="A10">
        <v>45.035856573704997</v>
      </c>
      <c r="B10">
        <v>311561.83333333</v>
      </c>
    </row>
    <row r="11" spans="1:2" x14ac:dyDescent="0.2">
      <c r="A11">
        <v>47.076693227092001</v>
      </c>
      <c r="B11">
        <v>310927.63333332998</v>
      </c>
    </row>
    <row r="12" spans="1:2" x14ac:dyDescent="0.2">
      <c r="A12">
        <v>48.401394422311</v>
      </c>
      <c r="B12">
        <v>311511.26666666998</v>
      </c>
    </row>
    <row r="13" spans="1:2" x14ac:dyDescent="0.2">
      <c r="A13">
        <v>47.243027888446001</v>
      </c>
      <c r="B13">
        <v>311466.56666667003</v>
      </c>
    </row>
    <row r="14" spans="1:2" x14ac:dyDescent="0.2">
      <c r="A14">
        <v>46.410358565736999</v>
      </c>
      <c r="B14">
        <v>311454.93333332997</v>
      </c>
    </row>
    <row r="15" spans="1:2" x14ac:dyDescent="0.2">
      <c r="A15">
        <v>46.063081009295999</v>
      </c>
      <c r="B15">
        <v>313054.23333333002</v>
      </c>
    </row>
    <row r="16" spans="1:2" x14ac:dyDescent="0.2">
      <c r="A16">
        <v>47.997675962815002</v>
      </c>
      <c r="B16">
        <v>312296.63333332998</v>
      </c>
    </row>
    <row r="17" spans="1:2" x14ac:dyDescent="0.2">
      <c r="A17">
        <v>48.698207171314998</v>
      </c>
      <c r="B17">
        <v>310545.43333332997</v>
      </c>
    </row>
    <row r="18" spans="1:2" x14ac:dyDescent="0.2">
      <c r="A18">
        <v>49.899402390437999</v>
      </c>
      <c r="B18">
        <v>311799.40000000002</v>
      </c>
    </row>
    <row r="19" spans="1:2" x14ac:dyDescent="0.2">
      <c r="A19">
        <v>45.497011952191002</v>
      </c>
      <c r="B19">
        <v>311448.8</v>
      </c>
    </row>
    <row r="20" spans="1:2" x14ac:dyDescent="0.2">
      <c r="A20">
        <v>49.161022576360999</v>
      </c>
      <c r="B20">
        <v>311445.33333333</v>
      </c>
    </row>
    <row r="21" spans="1:2" x14ac:dyDescent="0.2">
      <c r="A21">
        <v>45.301460823372999</v>
      </c>
      <c r="B21">
        <v>311501.46666666999</v>
      </c>
    </row>
    <row r="22" spans="1:2" x14ac:dyDescent="0.2">
      <c r="A22">
        <v>48.211819389109998</v>
      </c>
      <c r="B22">
        <v>311162.16666667</v>
      </c>
    </row>
    <row r="23" spans="1:2" x14ac:dyDescent="0.2">
      <c r="A23">
        <v>47.730411686586997</v>
      </c>
      <c r="B23">
        <v>310548.90000000002</v>
      </c>
    </row>
    <row r="24" spans="1:2" x14ac:dyDescent="0.2">
      <c r="A24">
        <v>47.071381142097998</v>
      </c>
      <c r="B24">
        <v>310828.56666667003</v>
      </c>
    </row>
    <row r="25" spans="1:2" x14ac:dyDescent="0.2">
      <c r="A25">
        <v>48.633466135458001</v>
      </c>
      <c r="B25">
        <v>311764.13333332998</v>
      </c>
    </row>
    <row r="26" spans="1:2" x14ac:dyDescent="0.2">
      <c r="A26">
        <v>46.000332005312004</v>
      </c>
      <c r="B26">
        <v>311812.13333332998</v>
      </c>
    </row>
    <row r="27" spans="1:2" x14ac:dyDescent="0.2">
      <c r="A27">
        <v>46.852589641434001</v>
      </c>
      <c r="B27">
        <v>311645.90000000002</v>
      </c>
    </row>
    <row r="28" spans="1:2" x14ac:dyDescent="0.2">
      <c r="A28">
        <v>50.225431606906</v>
      </c>
      <c r="B28">
        <v>311880.23333333002</v>
      </c>
    </row>
    <row r="29" spans="1:2" x14ac:dyDescent="0.2">
      <c r="A29">
        <v>49.258300132801999</v>
      </c>
      <c r="B29">
        <v>311978.73333333002</v>
      </c>
    </row>
    <row r="30" spans="1:2" x14ac:dyDescent="0.2">
      <c r="A30">
        <v>48.196215139442003</v>
      </c>
      <c r="B30">
        <v>312577.93333332997</v>
      </c>
    </row>
    <row r="31" spans="1:2" x14ac:dyDescent="0.2">
      <c r="A31">
        <v>47.522908366533997</v>
      </c>
      <c r="B31">
        <v>311865.66666667</v>
      </c>
    </row>
    <row r="32" spans="1:2" x14ac:dyDescent="0.2">
      <c r="A32">
        <v>48.481739707834997</v>
      </c>
      <c r="B32">
        <v>309725.2</v>
      </c>
    </row>
    <row r="33" spans="1:10" x14ac:dyDescent="0.2">
      <c r="A33">
        <v>47.812416998671999</v>
      </c>
      <c r="B33">
        <v>310724.13333332998</v>
      </c>
    </row>
    <row r="34" spans="1:10" x14ac:dyDescent="0.2">
      <c r="A34">
        <v>48.820385126162002</v>
      </c>
      <c r="B34">
        <v>310501</v>
      </c>
    </row>
    <row r="35" spans="1:10" x14ac:dyDescent="0.2">
      <c r="A35">
        <v>48.281208499336003</v>
      </c>
      <c r="B35">
        <v>312185.53333333001</v>
      </c>
    </row>
    <row r="36" spans="1:10" x14ac:dyDescent="0.2">
      <c r="A36">
        <v>44.887450199203002</v>
      </c>
      <c r="B36">
        <v>310188.09999999998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47.366211345095749</v>
      </c>
      <c r="C48">
        <f>_xlfn.STDEV.S(A2:A36)</f>
        <v>1.4788132371964973</v>
      </c>
      <c r="D48">
        <f>((_xlfn.NORM.S.INV(1-$D$47/2) * $C$48) / ($D$47 * $B$48))^2</f>
        <v>0.2637204908918297</v>
      </c>
      <c r="E48">
        <f>((_xlfn.NORM.S.INV(1-$E$47/2) * $C$48) / ($E$47 * $B$48))^2</f>
        <v>1.4977714061856315</v>
      </c>
      <c r="F48">
        <f>((_xlfn.NORM.S.INV(1-$F$47/2) * $C$48) / ($F$47 * $B$48))^2</f>
        <v>64.673076530676994</v>
      </c>
      <c r="H48">
        <f>_xlfn.NORM.S.INV(1-0.01/2)</f>
        <v>2.5758293035488999</v>
      </c>
      <c r="I48">
        <f>(_xlfn.NORM.S.INV(1-$F$47/2) * $C$48)</f>
        <v>3.8091704708467478</v>
      </c>
      <c r="J48">
        <f>($F$47 * $B$48)</f>
        <v>0.47366211345095749</v>
      </c>
    </row>
    <row r="49" spans="1:7" x14ac:dyDescent="0.2">
      <c r="A49" s="12" t="s">
        <v>9</v>
      </c>
      <c r="B49">
        <f>AVERAGE(B2:B36)</f>
        <v>311338.50571428484</v>
      </c>
      <c r="C49">
        <f>_xlfn.STDEV.S(B2:B36)</f>
        <v>764.4069055289541</v>
      </c>
      <c r="D49">
        <f>((_xlfn.NORM.S.INV(1-$D$47/2) * $C$49) / ($D$47 * $B$49))^2</f>
        <v>1.6309402234618417E-3</v>
      </c>
      <c r="E49">
        <f>((_xlfn.NORM.S.INV(1-$E$47/2) * $C$49) / ($E$47 * $B$49))^2</f>
        <v>9.2627448994894567E-3</v>
      </c>
      <c r="F49">
        <f>((_xlfn.NORM.S.INV(1-$F$47/2) * $C$49) / ($F$47 * $B$49))^2</f>
        <v>0.39996104031283264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1257.3374710260509</v>
      </c>
      <c r="E55" s="20">
        <f>D55/SQRT(35)</f>
        <v>212.52882265345198</v>
      </c>
      <c r="F55" s="23">
        <f>$B$49-E55</f>
        <v>311125.97689163138</v>
      </c>
      <c r="G55" s="23">
        <f>SUM($B$49,E55)</f>
        <v>311551.0345369383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1498.2100043704613</v>
      </c>
      <c r="E56" s="20">
        <f>D56/SQRT(35)</f>
        <v>253.24371193410497</v>
      </c>
      <c r="F56" s="23">
        <f>$B$49-E56</f>
        <v>311085.2620023507</v>
      </c>
      <c r="G56" s="23">
        <f>SUM($B$49,E56)</f>
        <v>311591.74942621897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2.4324313167865053</v>
      </c>
      <c r="E63" s="20">
        <f>D63/SQRT(35)</f>
        <v>0.41115593534340061</v>
      </c>
      <c r="F63" s="23">
        <f>$B$48-E63</f>
        <v>46.955055409752347</v>
      </c>
      <c r="G63" s="23">
        <f>SUM($B$48,E63)</f>
        <v>47.777367280439151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2.8984206847662222</v>
      </c>
      <c r="E64" s="20">
        <f>D64/SQRT(35)</f>
        <v>0.48992251474466264</v>
      </c>
      <c r="F64" s="23">
        <f>$B$48-E64</f>
        <v>46.876288830351086</v>
      </c>
      <c r="G64" s="23">
        <f>SUM($B$48,E64)</f>
        <v>47.856133859840412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6B52-C82D-4DDB-8416-EC7B94330754}">
  <dimension ref="A1:J64"/>
  <sheetViews>
    <sheetView topLeftCell="A32" zoomScaleNormal="100" workbookViewId="0">
      <selection activeCell="H66" sqref="H66"/>
    </sheetView>
  </sheetViews>
  <sheetFormatPr baseColWidth="10" defaultColWidth="8.83203125" defaultRowHeight="15" x14ac:dyDescent="0.2"/>
  <cols>
    <col min="1" max="1" width="16" bestFit="1" customWidth="1"/>
    <col min="2" max="2" width="20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  <col min="12" max="12" width="41.1640625" bestFit="1" customWidth="1"/>
    <col min="13" max="13" width="4.5" bestFit="1" customWidth="1"/>
    <col min="14" max="14" width="4.6640625" bestFit="1" customWidth="1"/>
    <col min="15" max="15" width="12.33203125" bestFit="1" customWidth="1"/>
    <col min="16" max="16" width="13.5" bestFit="1" customWidth="1"/>
    <col min="17" max="17" width="18.1640625" bestFit="1" customWidth="1"/>
    <col min="18" max="18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36.468459495352</v>
      </c>
      <c r="B2">
        <v>311518.59999999998</v>
      </c>
    </row>
    <row r="3" spans="1:2" x14ac:dyDescent="0.2">
      <c r="A3">
        <v>37.955511288181</v>
      </c>
      <c r="B3">
        <v>311792.53333333001</v>
      </c>
    </row>
    <row r="4" spans="1:2" x14ac:dyDescent="0.2">
      <c r="A4">
        <v>34.496347941567002</v>
      </c>
      <c r="B4">
        <v>310719.90000000002</v>
      </c>
    </row>
    <row r="5" spans="1:2" x14ac:dyDescent="0.2">
      <c r="A5">
        <v>34.769920318724999</v>
      </c>
      <c r="B5">
        <v>313086.46666666999</v>
      </c>
    </row>
    <row r="6" spans="1:2" x14ac:dyDescent="0.2">
      <c r="A6">
        <v>35.800796812748999</v>
      </c>
      <c r="B6">
        <v>310096.26666666998</v>
      </c>
    </row>
    <row r="7" spans="1:2" x14ac:dyDescent="0.2">
      <c r="A7">
        <v>35.389110225764</v>
      </c>
      <c r="B7">
        <v>310610.83333333</v>
      </c>
    </row>
    <row r="8" spans="1:2" x14ac:dyDescent="0.2">
      <c r="A8">
        <v>37.268924302789003</v>
      </c>
      <c r="B8">
        <v>310987.46666666999</v>
      </c>
    </row>
    <row r="9" spans="1:2" x14ac:dyDescent="0.2">
      <c r="A9">
        <v>36.841965471447999</v>
      </c>
      <c r="B9">
        <v>309678.40000000002</v>
      </c>
    </row>
    <row r="10" spans="1:2" x14ac:dyDescent="0.2">
      <c r="A10">
        <v>36.000332005312004</v>
      </c>
      <c r="B10">
        <v>311271.23333333002</v>
      </c>
    </row>
    <row r="11" spans="1:2" x14ac:dyDescent="0.2">
      <c r="A11">
        <v>34.720451527224</v>
      </c>
      <c r="B11">
        <v>312180.8</v>
      </c>
    </row>
    <row r="12" spans="1:2" x14ac:dyDescent="0.2">
      <c r="A12">
        <v>36.783532536521001</v>
      </c>
      <c r="B12">
        <v>310664.3</v>
      </c>
    </row>
    <row r="13" spans="1:2" x14ac:dyDescent="0.2">
      <c r="A13">
        <v>33.000332005312004</v>
      </c>
      <c r="B13">
        <v>310751.16666667</v>
      </c>
    </row>
    <row r="14" spans="1:2" x14ac:dyDescent="0.2">
      <c r="A14">
        <v>38.085657370518</v>
      </c>
      <c r="B14">
        <v>312650.13333332998</v>
      </c>
    </row>
    <row r="15" spans="1:2" x14ac:dyDescent="0.2">
      <c r="A15">
        <v>37.068061088976997</v>
      </c>
      <c r="B15">
        <v>312195.73333333002</v>
      </c>
    </row>
    <row r="16" spans="1:2" x14ac:dyDescent="0.2">
      <c r="A16">
        <v>36.637782204514998</v>
      </c>
      <c r="B16">
        <v>311350.8</v>
      </c>
    </row>
    <row r="17" spans="1:2" x14ac:dyDescent="0.2">
      <c r="A17">
        <v>35.434926958830999</v>
      </c>
      <c r="B17">
        <v>312433.76666666998</v>
      </c>
    </row>
    <row r="18" spans="1:2" x14ac:dyDescent="0.2">
      <c r="A18">
        <v>35.540836653386002</v>
      </c>
      <c r="B18">
        <v>310784.33333333</v>
      </c>
    </row>
    <row r="19" spans="1:2" x14ac:dyDescent="0.2">
      <c r="A19">
        <v>36.426626826029</v>
      </c>
      <c r="B19">
        <v>311658.63333332998</v>
      </c>
    </row>
    <row r="20" spans="1:2" x14ac:dyDescent="0.2">
      <c r="A20">
        <v>37.527888446215002</v>
      </c>
      <c r="B20">
        <v>312221.06666667003</v>
      </c>
    </row>
    <row r="21" spans="1:2" x14ac:dyDescent="0.2">
      <c r="A21">
        <v>35.130478087649003</v>
      </c>
      <c r="B21">
        <v>310286.93333332997</v>
      </c>
    </row>
    <row r="22" spans="1:2" x14ac:dyDescent="0.2">
      <c r="A22">
        <v>37.059428950863001</v>
      </c>
      <c r="B22">
        <v>310943.03333333001</v>
      </c>
    </row>
    <row r="23" spans="1:2" x14ac:dyDescent="0.2">
      <c r="A23">
        <v>35.658698539177003</v>
      </c>
      <c r="B23">
        <v>311533.09999999998</v>
      </c>
    </row>
    <row r="24" spans="1:2" x14ac:dyDescent="0.2">
      <c r="A24">
        <v>39.038180610890002</v>
      </c>
      <c r="B24">
        <v>312813.90000000002</v>
      </c>
    </row>
    <row r="25" spans="1:2" x14ac:dyDescent="0.2">
      <c r="A25">
        <v>37.327025232403997</v>
      </c>
      <c r="B25">
        <v>312948.46666666999</v>
      </c>
    </row>
    <row r="26" spans="1:2" x14ac:dyDescent="0.2">
      <c r="A26">
        <v>36.549800796813003</v>
      </c>
      <c r="B26">
        <v>311879.96666666999</v>
      </c>
    </row>
    <row r="27" spans="1:2" x14ac:dyDescent="0.2">
      <c r="A27">
        <v>35.674634794157001</v>
      </c>
      <c r="B27">
        <v>312189.46666666999</v>
      </c>
    </row>
    <row r="28" spans="1:2" x14ac:dyDescent="0.2">
      <c r="A28">
        <v>34.293160690571</v>
      </c>
      <c r="B28">
        <v>311961.76666666998</v>
      </c>
    </row>
    <row r="29" spans="1:2" x14ac:dyDescent="0.2">
      <c r="A29">
        <v>34.610225763612</v>
      </c>
      <c r="B29">
        <v>311441.86666667002</v>
      </c>
    </row>
    <row r="30" spans="1:2" x14ac:dyDescent="0.2">
      <c r="A30">
        <v>35.271912350598001</v>
      </c>
      <c r="B30">
        <v>312272.8</v>
      </c>
    </row>
    <row r="31" spans="1:2" x14ac:dyDescent="0.2">
      <c r="A31">
        <v>34.737383798141003</v>
      </c>
      <c r="B31">
        <v>309905.93333332997</v>
      </c>
    </row>
    <row r="32" spans="1:2" x14ac:dyDescent="0.2">
      <c r="A32">
        <v>35.246347941567002</v>
      </c>
      <c r="B32">
        <v>311134.16666667</v>
      </c>
    </row>
    <row r="33" spans="1:10" x14ac:dyDescent="0.2">
      <c r="A33">
        <v>33.862549800796998</v>
      </c>
      <c r="B33">
        <v>312212.59999999998</v>
      </c>
    </row>
    <row r="34" spans="1:10" x14ac:dyDescent="0.2">
      <c r="A34">
        <v>37.545484727755998</v>
      </c>
      <c r="B34">
        <v>313228.09999999998</v>
      </c>
    </row>
    <row r="35" spans="1:10" x14ac:dyDescent="0.2">
      <c r="A35">
        <v>35.007636122177999</v>
      </c>
      <c r="B35">
        <v>310324.59999999998</v>
      </c>
    </row>
    <row r="36" spans="1:10" x14ac:dyDescent="0.2">
      <c r="A36">
        <v>36.010956175299</v>
      </c>
      <c r="B36">
        <v>311249.40000000002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35.978324796053911</v>
      </c>
      <c r="C48">
        <f>_xlfn.STDEV.S(A2:A36)</f>
        <v>1.3239882089670116</v>
      </c>
      <c r="D48">
        <f>((_xlfn.NORM.S.INV(1-$D$47/2) * $C$48) / ($D$47 * $B$48))^2</f>
        <v>0.36638768879950123</v>
      </c>
      <c r="E48">
        <f>((_xlfn.NORM.S.INV(1-$E$47/2) * $C$48) / ($E$47 * $B$48))^2</f>
        <v>2.0808584194825412</v>
      </c>
      <c r="F48">
        <f>((_xlfn.NORM.S.INV(1-$F$47/2) * $C$48) / ($F$47 * $B$48))^2</f>
        <v>89.85050406017622</v>
      </c>
      <c r="H48">
        <f>_xlfn.NORM.S.INV(1-0.01/2)</f>
        <v>2.5758293035488999</v>
      </c>
      <c r="I48">
        <f>(_xlfn.NORM.S.INV(1-$F$47/2) * $C$48)</f>
        <v>3.4103676262104532</v>
      </c>
      <c r="J48">
        <f>($F$47 * $B$48)</f>
        <v>0.35978324796053912</v>
      </c>
    </row>
    <row r="49" spans="1:7" x14ac:dyDescent="0.2">
      <c r="A49" s="12" t="s">
        <v>9</v>
      </c>
      <c r="B49">
        <f>AVERAGE(B2:B36)</f>
        <v>311513.67238095251</v>
      </c>
      <c r="C49">
        <f>_xlfn.STDEV.S(B2:B36)</f>
        <v>935.16693908333355</v>
      </c>
      <c r="D49">
        <f>((_xlfn.NORM.S.INV(1-$D$47/2) * $C$49) / ($D$47 * $B$49))^2</f>
        <v>2.4382519371289966E-3</v>
      </c>
      <c r="E49">
        <f>((_xlfn.NORM.S.INV(1-$E$47/2) * $C$49) / ($E$47 * $B$49))^2</f>
        <v>1.3847782628337574E-2</v>
      </c>
      <c r="F49">
        <f>((_xlfn.NORM.S.INV(1-$F$47/2) * $C$49) / ($F$47 * $B$49))^2</f>
        <v>0.59794084865288066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1538.2127315563271</v>
      </c>
      <c r="E55" s="20">
        <f>D55/SQRT(35)</f>
        <v>260.00540695048068</v>
      </c>
      <c r="F55" s="23">
        <f>$B$49-E55</f>
        <v>311253.66697400203</v>
      </c>
      <c r="G55" s="23">
        <f>SUM($B$49,E55)</f>
        <v>311773.677787903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1832.8935201358961</v>
      </c>
      <c r="E56" s="20">
        <f>D56/SQRT(35)</f>
        <v>309.8155514014361</v>
      </c>
      <c r="F56" s="23">
        <f>$B$49-E56</f>
        <v>311203.85682955105</v>
      </c>
      <c r="G56" s="23">
        <f>SUM($B$49,E56)</f>
        <v>311823.48793235398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2.177766807560372</v>
      </c>
      <c r="E63" s="20">
        <f>D63/SQRT(35)</f>
        <v>0.36810977664323741</v>
      </c>
      <c r="F63" s="23">
        <f>$B$48-E63</f>
        <v>35.610215019410674</v>
      </c>
      <c r="G63" s="23">
        <f>SUM($B$48,E63)</f>
        <v>36.346434572697149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2.5949692055310334</v>
      </c>
      <c r="E64" s="20">
        <f>D64/SQRT(35)</f>
        <v>0.43862985298880625</v>
      </c>
      <c r="F64" s="23">
        <f>$B$48-E64</f>
        <v>35.539694943065108</v>
      </c>
      <c r="G64" s="23">
        <f>SUM($B$48,E64)</f>
        <v>36.416954649042715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C3454-0CA7-4F1B-B8D9-E7F3F65D06FB}">
  <dimension ref="A1:J64"/>
  <sheetViews>
    <sheetView zoomScaleNormal="100" workbookViewId="0">
      <selection activeCell="H30" sqref="H30"/>
    </sheetView>
  </sheetViews>
  <sheetFormatPr baseColWidth="10" defaultColWidth="8.83203125" defaultRowHeight="15" x14ac:dyDescent="0.2"/>
  <cols>
    <col min="1" max="1" width="16.6640625" bestFit="1" customWidth="1"/>
    <col min="2" max="2" width="19.6640625" bestFit="1" customWidth="1"/>
    <col min="3" max="4" width="12.6640625" bestFit="1" customWidth="1"/>
    <col min="5" max="5" width="18.83203125" bestFit="1" customWidth="1"/>
    <col min="6" max="6" width="13.5" bestFit="1" customWidth="1"/>
    <col min="7" max="10" width="12.6640625" bestFit="1" customWidth="1"/>
    <col min="11" max="11" width="41.1640625" bestFit="1" customWidth="1"/>
    <col min="12" max="12" width="5" bestFit="1" customWidth="1"/>
    <col min="13" max="13" width="4.6640625" bestFit="1" customWidth="1"/>
    <col min="14" max="14" width="12.33203125" bestFit="1" customWidth="1"/>
    <col min="15" max="15" width="13.5" bestFit="1" customWidth="1"/>
    <col min="16" max="16" width="18.1640625" bestFit="1" customWidth="1"/>
    <col min="17" max="17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32.265604249668002</v>
      </c>
      <c r="B2">
        <v>311411.96666666999</v>
      </c>
    </row>
    <row r="3" spans="1:2" x14ac:dyDescent="0.2">
      <c r="A3">
        <v>32.510624169986997</v>
      </c>
      <c r="B3">
        <v>313217</v>
      </c>
    </row>
    <row r="4" spans="1:2" x14ac:dyDescent="0.2">
      <c r="A4">
        <v>33.610557768923996</v>
      </c>
      <c r="B4">
        <v>310472.16666667</v>
      </c>
    </row>
    <row r="5" spans="1:2" x14ac:dyDescent="0.2">
      <c r="A5">
        <v>33.069721115538002</v>
      </c>
      <c r="B5">
        <v>312072.13333332998</v>
      </c>
    </row>
    <row r="6" spans="1:2" x14ac:dyDescent="0.2">
      <c r="A6">
        <v>33.9697875166</v>
      </c>
      <c r="B6">
        <v>312192.23333333002</v>
      </c>
    </row>
    <row r="7" spans="1:2" x14ac:dyDescent="0.2">
      <c r="A7">
        <v>33.582337317396998</v>
      </c>
      <c r="B7">
        <v>311004.06666667003</v>
      </c>
    </row>
    <row r="8" spans="1:2" x14ac:dyDescent="0.2">
      <c r="A8">
        <v>32.395086321381001</v>
      </c>
      <c r="B8">
        <v>311660.40000000002</v>
      </c>
    </row>
    <row r="9" spans="1:2" x14ac:dyDescent="0.2">
      <c r="A9">
        <v>34.240703851261998</v>
      </c>
      <c r="B9">
        <v>311839.73333333002</v>
      </c>
    </row>
    <row r="10" spans="1:2" x14ac:dyDescent="0.2">
      <c r="A10">
        <v>32.511288180610997</v>
      </c>
      <c r="B10">
        <v>311025.8</v>
      </c>
    </row>
    <row r="11" spans="1:2" x14ac:dyDescent="0.2">
      <c r="A11">
        <v>32.685590969456001</v>
      </c>
      <c r="B11">
        <v>311429.7</v>
      </c>
    </row>
    <row r="12" spans="1:2" x14ac:dyDescent="0.2">
      <c r="A12">
        <v>33.448871181938998</v>
      </c>
      <c r="B12">
        <v>312215.5</v>
      </c>
    </row>
    <row r="13" spans="1:2" x14ac:dyDescent="0.2">
      <c r="A13">
        <v>32.469455511287997</v>
      </c>
      <c r="B13">
        <v>312066.93333332997</v>
      </c>
    </row>
    <row r="14" spans="1:2" x14ac:dyDescent="0.2">
      <c r="A14">
        <v>33.645750332005001</v>
      </c>
      <c r="B14">
        <v>311371.40000000002</v>
      </c>
    </row>
    <row r="15" spans="1:2" x14ac:dyDescent="0.2">
      <c r="A15">
        <v>33.974767596282</v>
      </c>
      <c r="B15">
        <v>311842.03333333001</v>
      </c>
    </row>
    <row r="16" spans="1:2" x14ac:dyDescent="0.2">
      <c r="A16">
        <v>33.061752988047999</v>
      </c>
      <c r="B16">
        <v>310299</v>
      </c>
    </row>
    <row r="17" spans="1:2" x14ac:dyDescent="0.2">
      <c r="A17">
        <v>34.037848605577999</v>
      </c>
      <c r="B17">
        <v>311189.76666666998</v>
      </c>
    </row>
    <row r="18" spans="1:2" x14ac:dyDescent="0.2">
      <c r="A18">
        <v>33.523240371846001</v>
      </c>
      <c r="B18">
        <v>310462</v>
      </c>
    </row>
    <row r="19" spans="1:2" x14ac:dyDescent="0.2">
      <c r="A19">
        <v>34.269588313413003</v>
      </c>
      <c r="B19">
        <v>312011.40000000002</v>
      </c>
    </row>
    <row r="20" spans="1:2" x14ac:dyDescent="0.2">
      <c r="A20">
        <v>33.461487383798001</v>
      </c>
      <c r="B20">
        <v>311808.66666667</v>
      </c>
    </row>
    <row r="21" spans="1:2" x14ac:dyDescent="0.2">
      <c r="A21">
        <v>34.684926958830999</v>
      </c>
      <c r="B21">
        <v>311090.96666666999</v>
      </c>
    </row>
    <row r="22" spans="1:2" x14ac:dyDescent="0.2">
      <c r="A22">
        <v>32.572045152721998</v>
      </c>
      <c r="B22">
        <v>312705.73333333002</v>
      </c>
    </row>
    <row r="23" spans="1:2" x14ac:dyDescent="0.2">
      <c r="A23">
        <v>32.697543160690998</v>
      </c>
      <c r="B23">
        <v>310927.73333333002</v>
      </c>
    </row>
    <row r="24" spans="1:2" x14ac:dyDescent="0.2">
      <c r="A24">
        <v>32.582005312085002</v>
      </c>
      <c r="B24">
        <v>310500.43333332997</v>
      </c>
    </row>
    <row r="25" spans="1:2" x14ac:dyDescent="0.2">
      <c r="A25">
        <v>33.404714475432002</v>
      </c>
      <c r="B25">
        <v>310356</v>
      </c>
    </row>
    <row r="26" spans="1:2" x14ac:dyDescent="0.2">
      <c r="A26">
        <v>32.368525896413999</v>
      </c>
      <c r="B26">
        <v>310367.90000000002</v>
      </c>
    </row>
    <row r="27" spans="1:2" x14ac:dyDescent="0.2">
      <c r="A27">
        <v>33.700531208499001</v>
      </c>
      <c r="B27">
        <v>311973.63333332998</v>
      </c>
    </row>
    <row r="28" spans="1:2" x14ac:dyDescent="0.2">
      <c r="A28">
        <v>33.842629482071999</v>
      </c>
      <c r="B28">
        <v>312524.3</v>
      </c>
    </row>
    <row r="29" spans="1:2" x14ac:dyDescent="0.2">
      <c r="A29">
        <v>33.852589641434001</v>
      </c>
      <c r="B29">
        <v>312046.63333332998</v>
      </c>
    </row>
    <row r="30" spans="1:2" x14ac:dyDescent="0.2">
      <c r="A30">
        <v>33.536852589641001</v>
      </c>
      <c r="B30">
        <v>311269.5</v>
      </c>
    </row>
    <row r="31" spans="1:2" x14ac:dyDescent="0.2">
      <c r="A31">
        <v>33.532204515271999</v>
      </c>
      <c r="B31">
        <v>312173.03333333001</v>
      </c>
    </row>
    <row r="32" spans="1:2" x14ac:dyDescent="0.2">
      <c r="A32">
        <v>34.504980079680998</v>
      </c>
      <c r="B32">
        <v>311017.7</v>
      </c>
    </row>
    <row r="33" spans="1:10" x14ac:dyDescent="0.2">
      <c r="A33">
        <v>33.854581673307003</v>
      </c>
      <c r="B33">
        <v>311940.16666667</v>
      </c>
    </row>
    <row r="34" spans="1:10" x14ac:dyDescent="0.2">
      <c r="A34">
        <v>32.651726427622997</v>
      </c>
      <c r="B34">
        <v>311145.63333332998</v>
      </c>
    </row>
    <row r="35" spans="1:10" x14ac:dyDescent="0.2">
      <c r="A35">
        <v>32.686586985391997</v>
      </c>
      <c r="B35">
        <v>311590.09999999998</v>
      </c>
    </row>
    <row r="36" spans="1:10" x14ac:dyDescent="0.2">
      <c r="A36">
        <v>32.798804780875997</v>
      </c>
      <c r="B36">
        <v>311840.5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33.314437488142666</v>
      </c>
      <c r="C48">
        <f>_xlfn.STDEV.S(A2:A36)</f>
        <v>0.68284674494729469</v>
      </c>
      <c r="D48">
        <f>((_xlfn.NORM.S.INV(1-$D$47/2) * $C$48) / ($D$47 * $B$48))^2</f>
        <v>0.11366742753044944</v>
      </c>
      <c r="E48">
        <f>((_xlfn.NORM.S.INV(1-$E$47/2) * $C$48) / ($E$47 * $B$48))^2</f>
        <v>0.6455616027182931</v>
      </c>
      <c r="F48">
        <f>((_xlfn.NORM.S.INV(1-$F$47/2) * $C$48) / ($F$47 * $B$48))^2</f>
        <v>27.87505140333289</v>
      </c>
      <c r="H48">
        <f>_xlfn.NORM.S.INV(1-0.01/2)</f>
        <v>2.5758293035488999</v>
      </c>
      <c r="I48">
        <f>(_xlfn.NORM.S.INV(1-$F$47/2) * $C$48)</f>
        <v>1.7588966554682235</v>
      </c>
      <c r="J48">
        <f>($F$47 * $B$48)</f>
        <v>0.33314437488142667</v>
      </c>
    </row>
    <row r="49" spans="1:7" x14ac:dyDescent="0.2">
      <c r="A49" s="12" t="s">
        <v>9</v>
      </c>
      <c r="B49">
        <f>AVERAGE(B2:B36)</f>
        <v>311516.05333333276</v>
      </c>
      <c r="C49">
        <f>_xlfn.STDEV.S(B2:B36)</f>
        <v>720.68180486835047</v>
      </c>
      <c r="D49">
        <f>((_xlfn.NORM.S.INV(1-$D$47/2) * $C$49) / ($D$47 * $B$49))^2</f>
        <v>1.4480406860803178E-3</v>
      </c>
      <c r="E49">
        <f>((_xlfn.NORM.S.INV(1-$E$47/2) * $C$49) / ($E$47 * $B$49))^2</f>
        <v>8.2239871739587904E-3</v>
      </c>
      <c r="F49">
        <f>((_xlfn.NORM.S.INV(1-$F$47/2) * $C$49) / ($F$47 * $B$49))^2</f>
        <v>0.35510796219781993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1185.416080615639</v>
      </c>
      <c r="E55" s="20">
        <f>D55/SQRT(35)</f>
        <v>200.37188883118191</v>
      </c>
      <c r="F55" s="23">
        <f>$B$49-E55</f>
        <v>311315.68144450156</v>
      </c>
      <c r="G55" s="23">
        <f>SUM($B$49,E55)</f>
        <v>311716.42522216396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1412.5103818552896</v>
      </c>
      <c r="E56" s="20">
        <f>D56/SQRT(35)</f>
        <v>238.75783181463993</v>
      </c>
      <c r="F56" s="23">
        <f>$B$49-E56</f>
        <v>311277.29550151812</v>
      </c>
      <c r="G56" s="23">
        <f>SUM($B$49,E56)</f>
        <v>311754.8111651474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1.1231829450785642</v>
      </c>
      <c r="E63" s="20">
        <f>D63/SQRT(35)</f>
        <v>0.18985256897433087</v>
      </c>
      <c r="F63" s="23">
        <f>$B$48-E63</f>
        <v>33.124584919168335</v>
      </c>
      <c r="G63" s="23">
        <f>SUM($B$48,E63)</f>
        <v>33.504290057116997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1.3383550270571054</v>
      </c>
      <c r="E64" s="20">
        <f>D64/SQRT(35)</f>
        <v>0.22622328909092232</v>
      </c>
      <c r="F64" s="23">
        <f>$B$48-E64</f>
        <v>33.088214199051741</v>
      </c>
      <c r="G64" s="23">
        <f>SUM($B$48,E64)</f>
        <v>33.54066077723359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BC55-AE09-4F95-8733-43E79515AA02}">
  <dimension ref="A1:J64"/>
  <sheetViews>
    <sheetView topLeftCell="A33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  <col min="13" max="13" width="41.1640625" bestFit="1" customWidth="1"/>
    <col min="14" max="14" width="4.5" bestFit="1" customWidth="1"/>
    <col min="15" max="15" width="4.6640625" bestFit="1" customWidth="1"/>
    <col min="16" max="16" width="12.33203125" bestFit="1" customWidth="1"/>
    <col min="17" max="17" width="13.5" bestFit="1" customWidth="1"/>
    <col min="18" max="18" width="18.1640625" bestFit="1" customWidth="1"/>
    <col min="19" max="19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8954.1274900398003</v>
      </c>
      <c r="B2">
        <v>39734.233333333003</v>
      </c>
    </row>
    <row r="3" spans="1:2" x14ac:dyDescent="0.2">
      <c r="A3">
        <v>8956.2626992032001</v>
      </c>
      <c r="B3">
        <v>39728.366666667003</v>
      </c>
    </row>
    <row r="4" spans="1:2" x14ac:dyDescent="0.2">
      <c r="A4">
        <v>8958.7407868526006</v>
      </c>
      <c r="B4">
        <v>39712.933333333</v>
      </c>
    </row>
    <row r="5" spans="1:2" x14ac:dyDescent="0.2">
      <c r="A5">
        <v>8965.7298306772991</v>
      </c>
      <c r="B5">
        <v>39731.466666667002</v>
      </c>
    </row>
    <row r="6" spans="1:2" x14ac:dyDescent="0.2">
      <c r="A6">
        <v>8943.9965139441993</v>
      </c>
      <c r="B6">
        <v>39703.666666666999</v>
      </c>
    </row>
    <row r="7" spans="1:2" x14ac:dyDescent="0.2">
      <c r="A7">
        <v>8977.5004980079993</v>
      </c>
      <c r="B7">
        <v>39715.733333333003</v>
      </c>
    </row>
    <row r="8" spans="1:2" x14ac:dyDescent="0.2">
      <c r="A8">
        <v>8968.6177788844998</v>
      </c>
      <c r="B8">
        <v>39729.633333332997</v>
      </c>
    </row>
    <row r="9" spans="1:2" x14ac:dyDescent="0.2">
      <c r="A9">
        <v>8974.2328187251005</v>
      </c>
      <c r="B9">
        <v>39733.533333332998</v>
      </c>
    </row>
    <row r="10" spans="1:2" x14ac:dyDescent="0.2">
      <c r="A10">
        <v>8929.7833665339003</v>
      </c>
      <c r="B10">
        <v>39735.333333333001</v>
      </c>
    </row>
    <row r="11" spans="1:2" x14ac:dyDescent="0.2">
      <c r="A11">
        <v>8850.6867529880001</v>
      </c>
      <c r="B11">
        <v>39731.733333333003</v>
      </c>
    </row>
    <row r="12" spans="1:2" x14ac:dyDescent="0.2">
      <c r="A12">
        <v>8952.2953187251005</v>
      </c>
      <c r="B12">
        <v>39722.266666666997</v>
      </c>
    </row>
    <row r="13" spans="1:2" x14ac:dyDescent="0.2">
      <c r="A13">
        <v>8962.8926792829006</v>
      </c>
      <c r="B13">
        <v>39711.4</v>
      </c>
    </row>
    <row r="14" spans="1:2" x14ac:dyDescent="0.2">
      <c r="A14">
        <v>8966.6974601593993</v>
      </c>
      <c r="B14">
        <v>39733.599999999999</v>
      </c>
    </row>
    <row r="15" spans="1:2" x14ac:dyDescent="0.2">
      <c r="A15">
        <v>8936.9397410358997</v>
      </c>
      <c r="B15">
        <v>39713.766666666997</v>
      </c>
    </row>
    <row r="16" spans="1:2" x14ac:dyDescent="0.2">
      <c r="A16">
        <v>8912.0981075697</v>
      </c>
      <c r="B16">
        <v>39704.199999999997</v>
      </c>
    </row>
    <row r="17" spans="1:2" x14ac:dyDescent="0.2">
      <c r="A17">
        <v>8933.7089143426001</v>
      </c>
      <c r="B17">
        <v>39727.933333333</v>
      </c>
    </row>
    <row r="18" spans="1:2" x14ac:dyDescent="0.2">
      <c r="A18">
        <v>8898.5107071712991</v>
      </c>
      <c r="B18">
        <v>39737.766666666997</v>
      </c>
    </row>
    <row r="19" spans="1:2" x14ac:dyDescent="0.2">
      <c r="A19">
        <v>8914.6419322709007</v>
      </c>
      <c r="B19">
        <v>39731.966666667002</v>
      </c>
    </row>
    <row r="20" spans="1:2" x14ac:dyDescent="0.2">
      <c r="A20">
        <v>8942.3921812748995</v>
      </c>
      <c r="B20">
        <v>39734.166666666999</v>
      </c>
    </row>
    <row r="21" spans="1:2" x14ac:dyDescent="0.2">
      <c r="A21">
        <v>8906.6810258963997</v>
      </c>
      <c r="B21">
        <v>39729</v>
      </c>
    </row>
    <row r="22" spans="1:2" x14ac:dyDescent="0.2">
      <c r="A22">
        <v>8921.4372509959994</v>
      </c>
      <c r="B22">
        <v>39714.366666667003</v>
      </c>
    </row>
    <row r="23" spans="1:2" x14ac:dyDescent="0.2">
      <c r="A23">
        <v>8930.4671314741008</v>
      </c>
      <c r="B23">
        <v>39731.466666667002</v>
      </c>
    </row>
    <row r="24" spans="1:2" x14ac:dyDescent="0.2">
      <c r="A24">
        <v>8942.9902888445995</v>
      </c>
      <c r="B24">
        <v>39728.433333333</v>
      </c>
    </row>
    <row r="25" spans="1:2" x14ac:dyDescent="0.2">
      <c r="A25">
        <v>8931.7168824701002</v>
      </c>
      <c r="B25">
        <v>39706.933333333</v>
      </c>
    </row>
    <row r="26" spans="1:2" x14ac:dyDescent="0.2">
      <c r="A26">
        <v>8962.9803286853003</v>
      </c>
      <c r="B26">
        <v>39732.300000000003</v>
      </c>
    </row>
    <row r="27" spans="1:2" x14ac:dyDescent="0.2">
      <c r="A27">
        <v>8956.7395418326996</v>
      </c>
      <c r="B27">
        <v>39734.933333333</v>
      </c>
    </row>
    <row r="28" spans="1:2" x14ac:dyDescent="0.2">
      <c r="A28">
        <v>8937.7719123505995</v>
      </c>
      <c r="B28">
        <v>39738.333333333001</v>
      </c>
    </row>
    <row r="29" spans="1:2" x14ac:dyDescent="0.2">
      <c r="A29">
        <v>8976.5881474104008</v>
      </c>
      <c r="B29">
        <v>39731.566666667</v>
      </c>
    </row>
    <row r="30" spans="1:2" x14ac:dyDescent="0.2">
      <c r="A30">
        <v>8911.9534362550003</v>
      </c>
      <c r="B30">
        <v>39725.633333332997</v>
      </c>
    </row>
    <row r="31" spans="1:2" x14ac:dyDescent="0.2">
      <c r="A31">
        <v>8935.5844123505995</v>
      </c>
      <c r="B31">
        <v>39704.433333333</v>
      </c>
    </row>
    <row r="32" spans="1:2" x14ac:dyDescent="0.2">
      <c r="A32">
        <v>8947.2375498008005</v>
      </c>
      <c r="B32">
        <v>39727.1</v>
      </c>
    </row>
    <row r="33" spans="1:10" x14ac:dyDescent="0.2">
      <c r="A33">
        <v>8946.7527390438008</v>
      </c>
      <c r="B33">
        <v>39745.333333333001</v>
      </c>
    </row>
    <row r="34" spans="1:10" x14ac:dyDescent="0.2">
      <c r="A34">
        <v>8929.2577191234996</v>
      </c>
      <c r="B34">
        <v>39723.933333333</v>
      </c>
    </row>
    <row r="35" spans="1:10" x14ac:dyDescent="0.2">
      <c r="A35">
        <v>8962.1456673307002</v>
      </c>
      <c r="B35">
        <v>39727.966666667002</v>
      </c>
    </row>
    <row r="36" spans="1:10" x14ac:dyDescent="0.2">
      <c r="A36">
        <v>8938.3814741036003</v>
      </c>
      <c r="B36">
        <v>39743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8941.1011738759262</v>
      </c>
      <c r="C48">
        <f>_xlfn.STDEV.S(A2:A36)</f>
        <v>25.897113164711566</v>
      </c>
      <c r="D48">
        <f>((_xlfn.NORM.S.INV(1-$D$47/2) * $C$48) / ($D$47 * $B$48))^2</f>
        <v>2.2697352594260338E-3</v>
      </c>
      <c r="E48">
        <f>((_xlfn.NORM.S.INV(1-$E$47/2) * $C$48) / ($E$47 * $B$48))^2</f>
        <v>1.289071076609679E-2</v>
      </c>
      <c r="F48">
        <f>((_xlfn.NORM.S.INV(1-$F$47/2) * $C$48) / ($F$47 * $B$48))^2</f>
        <v>0.55661492833124238</v>
      </c>
      <c r="H48">
        <f>_xlfn.NORM.S.INV(1-0.01/2)</f>
        <v>2.5758293035488999</v>
      </c>
      <c r="I48">
        <f>(_xlfn.NORM.S.INV(1-$F$47/2) * $C$48)</f>
        <v>66.706542966986035</v>
      </c>
      <c r="J48">
        <f>($F$47 * $B$48)</f>
        <v>89.411011738759257</v>
      </c>
    </row>
    <row r="49" spans="1:7" x14ac:dyDescent="0.2">
      <c r="A49" s="12" t="s">
        <v>9</v>
      </c>
      <c r="B49">
        <f>AVERAGE(B2:B36)</f>
        <v>39726.240952380926</v>
      </c>
      <c r="C49">
        <f>_xlfn.STDEV.S(B2:B36)</f>
        <v>11.119655463551583</v>
      </c>
      <c r="D49">
        <f>((_xlfn.NORM.S.INV(1-$D$47/2) * $C$49) / ($D$47 * $B$49))^2</f>
        <v>2.1197382223499945E-5</v>
      </c>
      <c r="E49">
        <f>((_xlfn.NORM.S.INV(1-$E$47/2) * $C$49) / ($E$47 * $B$49))^2</f>
        <v>1.2038819157730236E-4</v>
      </c>
      <c r="F49">
        <f>((_xlfn.NORM.S.INV(1-$F$47/2) * $C$49) / ($F$47 * $B$49))^2</f>
        <v>5.1983064272117041E-3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18.290205619673568</v>
      </c>
      <c r="E55" s="20">
        <f>D55/SQRT(35)</f>
        <v>3.0916090198653081</v>
      </c>
      <c r="F55" s="23">
        <f>$B$49-E55</f>
        <v>39723.149343361059</v>
      </c>
      <c r="G55" s="23">
        <f>SUM($B$49,E55)</f>
        <v>39729.332561400792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21.794124229055136</v>
      </c>
      <c r="E56" s="20">
        <f>D56/SQRT(35)</f>
        <v>3.6838793640535599</v>
      </c>
      <c r="F56" s="23">
        <f>$B$49-E56</f>
        <v>39722.557073016869</v>
      </c>
      <c r="G56" s="23">
        <f>SUM($B$49,E56)</f>
        <v>39729.924831744982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42.596960516548521</v>
      </c>
      <c r="E63" s="20">
        <f>D63/SQRT(35)</f>
        <v>7.200200483812722</v>
      </c>
      <c r="F63" s="23">
        <f>$B$48-E63</f>
        <v>8933.9009733921139</v>
      </c>
      <c r="G63" s="23">
        <f>SUM($B$48,E63)</f>
        <v>8948.3013743597385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50.757409106392757</v>
      </c>
      <c r="E64" s="20">
        <f>D64/SQRT(35)</f>
        <v>8.5795680530527587</v>
      </c>
      <c r="F64" s="23">
        <f>$B$48-E64</f>
        <v>8932.5216058228725</v>
      </c>
      <c r="G64" s="23">
        <f>SUM($B$48,E64)</f>
        <v>8949.6807419289798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E92A-56C1-4550-A29E-D56A543867B0}">
  <dimension ref="A1:G64"/>
  <sheetViews>
    <sheetView topLeftCell="A22" zoomScaleNormal="100" workbookViewId="0">
      <selection activeCell="A37" sqref="A37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7" width="12.1640625" bestFit="1" customWidth="1"/>
    <col min="8" max="8" width="15.33203125" bestFit="1" customWidth="1"/>
    <col min="9" max="9" width="17" customWidth="1"/>
    <col min="10" max="10" width="13.5" customWidth="1"/>
    <col min="11" max="11" width="14.1640625" customWidth="1"/>
    <col min="12" max="12" width="13.83203125" customWidth="1"/>
    <col min="13" max="13" width="41.1640625" bestFit="1" customWidth="1"/>
    <col min="14" max="14" width="4.5" bestFit="1" customWidth="1"/>
    <col min="15" max="15" width="4.6640625" bestFit="1" customWidth="1"/>
    <col min="16" max="16" width="12.33203125" bestFit="1" customWidth="1"/>
    <col min="17" max="17" width="13.5" bestFit="1" customWidth="1"/>
    <col min="18" max="18" width="18.1640625" bestFit="1" customWidth="1"/>
    <col min="19" max="19" width="12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218.91583665338999</v>
      </c>
      <c r="B2">
        <v>410131.5</v>
      </c>
    </row>
    <row r="3" spans="1:2" x14ac:dyDescent="0.2">
      <c r="A3">
        <v>282.17106573705001</v>
      </c>
      <c r="B3">
        <v>407122.46666666999</v>
      </c>
    </row>
    <row r="4" spans="1:2" x14ac:dyDescent="0.2">
      <c r="A4">
        <v>250.81947211155</v>
      </c>
      <c r="B4">
        <v>407139.26666666998</v>
      </c>
    </row>
    <row r="5" spans="1:2" x14ac:dyDescent="0.2">
      <c r="A5">
        <v>224.11454183267</v>
      </c>
      <c r="B5">
        <v>411020.76666666998</v>
      </c>
    </row>
    <row r="6" spans="1:2" x14ac:dyDescent="0.2">
      <c r="A6">
        <v>211.18849601593999</v>
      </c>
      <c r="B6">
        <v>409834.43333332997</v>
      </c>
    </row>
    <row r="7" spans="1:2" x14ac:dyDescent="0.2">
      <c r="A7">
        <v>234.29930278884001</v>
      </c>
      <c r="B7">
        <v>410866.2</v>
      </c>
    </row>
    <row r="8" spans="1:2" x14ac:dyDescent="0.2">
      <c r="A8">
        <v>250.43949203187</v>
      </c>
      <c r="B8">
        <v>409659.66666667</v>
      </c>
    </row>
    <row r="9" spans="1:2" x14ac:dyDescent="0.2">
      <c r="A9">
        <v>286.68625498007998</v>
      </c>
      <c r="B9">
        <v>407401.8</v>
      </c>
    </row>
    <row r="10" spans="1:2" x14ac:dyDescent="0.2">
      <c r="A10">
        <v>242.43500996015999</v>
      </c>
      <c r="B10">
        <v>408655.3</v>
      </c>
    </row>
    <row r="11" spans="1:2" x14ac:dyDescent="0.2">
      <c r="A11">
        <v>193.05204183267</v>
      </c>
      <c r="B11">
        <v>411496.26666666998</v>
      </c>
    </row>
    <row r="12" spans="1:2" x14ac:dyDescent="0.2">
      <c r="A12">
        <v>219.36902390437999</v>
      </c>
      <c r="B12">
        <v>406494.86666667002</v>
      </c>
    </row>
    <row r="13" spans="1:2" x14ac:dyDescent="0.2">
      <c r="A13">
        <v>369.97958167331001</v>
      </c>
      <c r="B13">
        <v>406173.26666666998</v>
      </c>
    </row>
    <row r="14" spans="1:2" x14ac:dyDescent="0.2">
      <c r="A14">
        <v>204.78261952190999</v>
      </c>
      <c r="B14">
        <v>411796.83333333</v>
      </c>
    </row>
    <row r="15" spans="1:2" x14ac:dyDescent="0.2">
      <c r="A15">
        <v>233.12275896413999</v>
      </c>
      <c r="B15">
        <v>409832.43333332997</v>
      </c>
    </row>
    <row r="16" spans="1:2" x14ac:dyDescent="0.2">
      <c r="A16">
        <v>240.98605577689</v>
      </c>
      <c r="B16">
        <v>410059.23333333002</v>
      </c>
    </row>
    <row r="17" spans="1:2" x14ac:dyDescent="0.2">
      <c r="A17">
        <v>259.89193227091999</v>
      </c>
      <c r="B17">
        <v>407131.16666667</v>
      </c>
    </row>
    <row r="18" spans="1:2" x14ac:dyDescent="0.2">
      <c r="A18">
        <v>207.20019920319001</v>
      </c>
      <c r="B18">
        <v>408420.16666667</v>
      </c>
    </row>
    <row r="19" spans="1:2" x14ac:dyDescent="0.2">
      <c r="A19">
        <v>281.67106573705001</v>
      </c>
      <c r="B19">
        <v>408983.2</v>
      </c>
    </row>
    <row r="20" spans="1:2" x14ac:dyDescent="0.2">
      <c r="A20">
        <v>226.04830677291</v>
      </c>
      <c r="B20">
        <v>410790.93333332997</v>
      </c>
    </row>
    <row r="21" spans="1:2" x14ac:dyDescent="0.2">
      <c r="A21">
        <v>233.90189243027999</v>
      </c>
      <c r="B21">
        <v>408618.86666667002</v>
      </c>
    </row>
    <row r="22" spans="1:2" x14ac:dyDescent="0.2">
      <c r="A22">
        <v>247.27290836653</v>
      </c>
      <c r="B22">
        <v>409838.63333332998</v>
      </c>
    </row>
    <row r="23" spans="1:2" x14ac:dyDescent="0.2">
      <c r="A23">
        <v>255.07868525896001</v>
      </c>
      <c r="B23">
        <v>410730.2</v>
      </c>
    </row>
    <row r="24" spans="1:2" x14ac:dyDescent="0.2">
      <c r="A24">
        <v>300.10756972112</v>
      </c>
      <c r="B24">
        <v>409235.06666667003</v>
      </c>
    </row>
    <row r="25" spans="1:2" x14ac:dyDescent="0.2">
      <c r="A25">
        <v>240.18575697211</v>
      </c>
      <c r="B25">
        <v>409016.26666666998</v>
      </c>
    </row>
    <row r="26" spans="1:2" x14ac:dyDescent="0.2">
      <c r="A26">
        <v>271.52863545817002</v>
      </c>
      <c r="B26">
        <v>411304.23333333002</v>
      </c>
    </row>
    <row r="27" spans="1:2" x14ac:dyDescent="0.2">
      <c r="A27">
        <v>269.07196215138998</v>
      </c>
      <c r="B27">
        <v>408415.2</v>
      </c>
    </row>
    <row r="28" spans="1:2" x14ac:dyDescent="0.2">
      <c r="A28">
        <v>298.29905378486001</v>
      </c>
      <c r="B28">
        <v>411860.3</v>
      </c>
    </row>
    <row r="29" spans="1:2" x14ac:dyDescent="0.2">
      <c r="A29">
        <v>219.15612549801</v>
      </c>
      <c r="B29">
        <v>412539.96666666999</v>
      </c>
    </row>
    <row r="30" spans="1:2" x14ac:dyDescent="0.2">
      <c r="A30">
        <v>360.53535856574001</v>
      </c>
      <c r="B30">
        <v>402815.03333333001</v>
      </c>
    </row>
    <row r="31" spans="1:2" x14ac:dyDescent="0.2">
      <c r="A31">
        <v>229.22136454183001</v>
      </c>
      <c r="B31">
        <v>410501.5</v>
      </c>
    </row>
    <row r="32" spans="1:2" x14ac:dyDescent="0.2">
      <c r="A32">
        <v>252.86802788845</v>
      </c>
      <c r="B32">
        <v>405538</v>
      </c>
    </row>
    <row r="33" spans="1:6" x14ac:dyDescent="0.2">
      <c r="A33">
        <v>251.93849601593999</v>
      </c>
      <c r="B33">
        <v>410724.4</v>
      </c>
    </row>
    <row r="34" spans="1:6" x14ac:dyDescent="0.2">
      <c r="A34">
        <v>309.15064741036002</v>
      </c>
      <c r="B34">
        <v>409988.5</v>
      </c>
    </row>
    <row r="35" spans="1:6" x14ac:dyDescent="0.2">
      <c r="A35">
        <v>201.77440239044</v>
      </c>
      <c r="B35">
        <v>409939.76666666998</v>
      </c>
    </row>
    <row r="36" spans="1:6" x14ac:dyDescent="0.2">
      <c r="A36">
        <v>235.36479083665</v>
      </c>
      <c r="B36">
        <v>411450.6</v>
      </c>
    </row>
    <row r="46" spans="1:6" x14ac:dyDescent="0.2">
      <c r="A46" s="13"/>
      <c r="D46" s="12" t="s">
        <v>5</v>
      </c>
      <c r="E46" s="12" t="s">
        <v>6</v>
      </c>
      <c r="F46" s="12" t="s">
        <v>7</v>
      </c>
    </row>
    <row r="47" spans="1:6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</row>
    <row r="48" spans="1:6" x14ac:dyDescent="0.2">
      <c r="A48" s="12" t="s">
        <v>8</v>
      </c>
      <c r="B48">
        <f>AVERAGE(A2:A36)</f>
        <v>251.78939243027884</v>
      </c>
      <c r="C48">
        <f>_xlfn.STDEV.S(A2:A36)</f>
        <v>40.555294605267626</v>
      </c>
      <c r="D48">
        <f>((_xlfn.NORM.S.INV(1-$D$47/2) * $C$48) / ($D$47 * $B$48))^2</f>
        <v>7.0189924458528559</v>
      </c>
      <c r="E48">
        <f>((_xlfn.NORM.S.INV(1-$E$47/2) * $C$48) / ($E$47 * $B$48))^2</f>
        <v>39.863592510691227</v>
      </c>
      <c r="F48">
        <f>((_xlfn.NORM.S.INV(1-$F$47/2) * $C$48) / ($F$47 * $B$48))^2</f>
        <v>1721.2914858598451</v>
      </c>
    </row>
    <row r="49" spans="1:7" x14ac:dyDescent="0.2">
      <c r="A49" s="12" t="s">
        <v>9</v>
      </c>
      <c r="B49">
        <f>AVERAGE(B2:B36)</f>
        <v>409300.75142857194</v>
      </c>
      <c r="C49">
        <f>_xlfn.STDEV.S(B2:B36)</f>
        <v>2080.9971687693492</v>
      </c>
      <c r="D49">
        <f>((_xlfn.NORM.S.INV(1-$D$47/2) * $C$49) / ($D$47 * $B$49))^2</f>
        <v>6.9937871108961148E-3</v>
      </c>
      <c r="E49">
        <f>((_xlfn.NORM.S.INV(1-$E$47/2) * $C$49) / ($E$47 * $B$49))^2</f>
        <v>3.9720441594151251E-2</v>
      </c>
      <c r="F49">
        <f>((_xlfn.NORM.S.INV(1-$F$47/2) * $C$49) / ($F$47 * $B$49))^2</f>
        <v>1.7151102954975559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3422.9357407260077</v>
      </c>
      <c r="E55" s="20">
        <f>D55/SQRT(35)</f>
        <v>578.58174098737834</v>
      </c>
      <c r="F55" s="23">
        <f>$B$49-E55</f>
        <v>408722.16968758457</v>
      </c>
      <c r="G55" s="23">
        <f>SUM($B$49,E55)</f>
        <v>409879.33316955931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4078.6795027177441</v>
      </c>
      <c r="E56" s="20">
        <f>D56/SQRT(35)</f>
        <v>689.42266707917827</v>
      </c>
      <c r="F56" s="23">
        <f>$B$49-E56</f>
        <v>408611.32876149274</v>
      </c>
      <c r="G56" s="23">
        <f>SUM($B$49,E56)</f>
        <v>409990.17409565113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66.707523423559905</v>
      </c>
      <c r="E63" s="20">
        <f>D63/SQRT(35)</f>
        <v>11.275629448764766</v>
      </c>
      <c r="F63" s="23">
        <f>$B$48-E63</f>
        <v>240.51376298151408</v>
      </c>
      <c r="G63" s="23">
        <f>SUM($B$48,E63)</f>
        <v>263.06502187904363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79.486916808736083</v>
      </c>
      <c r="E64" s="20">
        <f>D64/SQRT(35)</f>
        <v>13.435741187230988</v>
      </c>
      <c r="F64" s="23">
        <f>$B$48-E64</f>
        <v>238.35365124304786</v>
      </c>
      <c r="G64" s="23">
        <f>SUM($B$48,E64)</f>
        <v>265.22513361750981</v>
      </c>
    </row>
  </sheetData>
  <mergeCells count="2"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145B-E96D-458C-ACE6-E5027C901E85}">
  <dimension ref="A1:J64"/>
  <sheetViews>
    <sheetView topLeftCell="A28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67.787848605578006</v>
      </c>
      <c r="B2">
        <v>416093.26666666998</v>
      </c>
    </row>
    <row r="3" spans="1:2" x14ac:dyDescent="0.2">
      <c r="A3">
        <v>68.908366533865006</v>
      </c>
      <c r="B3">
        <v>414450.1</v>
      </c>
    </row>
    <row r="4" spans="1:2" x14ac:dyDescent="0.2">
      <c r="A4">
        <v>67.083665338645005</v>
      </c>
      <c r="B4">
        <v>415634.83333333</v>
      </c>
    </row>
    <row r="5" spans="1:2" x14ac:dyDescent="0.2">
      <c r="A5">
        <v>66.573456175299</v>
      </c>
      <c r="B5">
        <v>413035.96666666999</v>
      </c>
    </row>
    <row r="6" spans="1:2" x14ac:dyDescent="0.2">
      <c r="A6">
        <v>65.429780876493993</v>
      </c>
      <c r="B6">
        <v>412883.13333332998</v>
      </c>
    </row>
    <row r="7" spans="1:2" x14ac:dyDescent="0.2">
      <c r="A7">
        <v>65.880229083665</v>
      </c>
      <c r="B7">
        <v>414992.93333332997</v>
      </c>
    </row>
    <row r="8" spans="1:2" x14ac:dyDescent="0.2">
      <c r="A8">
        <v>67.742529880478003</v>
      </c>
      <c r="B8">
        <v>414201.4</v>
      </c>
    </row>
    <row r="9" spans="1:2" x14ac:dyDescent="0.2">
      <c r="A9">
        <v>67.338645418327005</v>
      </c>
      <c r="B9">
        <v>413609.2</v>
      </c>
    </row>
    <row r="10" spans="1:2" x14ac:dyDescent="0.2">
      <c r="A10">
        <v>66.570219123506007</v>
      </c>
      <c r="B10">
        <v>410750.66666667</v>
      </c>
    </row>
    <row r="11" spans="1:2" x14ac:dyDescent="0.2">
      <c r="A11">
        <v>65.264442231076004</v>
      </c>
      <c r="B11">
        <v>413746.53333333001</v>
      </c>
    </row>
    <row r="12" spans="1:2" x14ac:dyDescent="0.2">
      <c r="A12">
        <v>67.328436254980005</v>
      </c>
      <c r="B12">
        <v>414538.93333332997</v>
      </c>
    </row>
    <row r="13" spans="1:2" x14ac:dyDescent="0.2">
      <c r="A13">
        <v>66.674800796813003</v>
      </c>
      <c r="B13">
        <v>415302.7</v>
      </c>
    </row>
    <row r="14" spans="1:2" x14ac:dyDescent="0.2">
      <c r="A14">
        <v>69.116782868526002</v>
      </c>
      <c r="B14">
        <v>415134.63333332998</v>
      </c>
    </row>
    <row r="15" spans="1:2" x14ac:dyDescent="0.2">
      <c r="A15">
        <v>66.163346613545997</v>
      </c>
      <c r="B15">
        <v>412271.13333332998</v>
      </c>
    </row>
    <row r="16" spans="1:2" x14ac:dyDescent="0.2">
      <c r="A16">
        <v>66.129731075696995</v>
      </c>
      <c r="B16">
        <v>414641.83333333</v>
      </c>
    </row>
    <row r="17" spans="1:2" x14ac:dyDescent="0.2">
      <c r="A17">
        <v>67.729581673306996</v>
      </c>
      <c r="B17">
        <v>415355.16666667</v>
      </c>
    </row>
    <row r="18" spans="1:2" x14ac:dyDescent="0.2">
      <c r="A18">
        <v>70.272659362550002</v>
      </c>
      <c r="B18">
        <v>416419.76666666998</v>
      </c>
    </row>
    <row r="19" spans="1:2" x14ac:dyDescent="0.2">
      <c r="A19">
        <v>68.207918326693004</v>
      </c>
      <c r="B19">
        <v>413569.96666666999</v>
      </c>
    </row>
    <row r="20" spans="1:2" x14ac:dyDescent="0.2">
      <c r="A20">
        <v>68.229332669323</v>
      </c>
      <c r="B20">
        <v>414067.6</v>
      </c>
    </row>
    <row r="21" spans="1:2" x14ac:dyDescent="0.2">
      <c r="A21">
        <v>65.340886454183007</v>
      </c>
      <c r="B21">
        <v>414213.03333333001</v>
      </c>
    </row>
    <row r="22" spans="1:2" x14ac:dyDescent="0.2">
      <c r="A22">
        <v>68.727340637449998</v>
      </c>
      <c r="B22">
        <v>414260.86666667002</v>
      </c>
    </row>
    <row r="23" spans="1:2" x14ac:dyDescent="0.2">
      <c r="A23">
        <v>67.227091633466003</v>
      </c>
      <c r="B23">
        <v>413135.4</v>
      </c>
    </row>
    <row r="24" spans="1:2" x14ac:dyDescent="0.2">
      <c r="A24">
        <v>67.682768924303005</v>
      </c>
      <c r="B24">
        <v>415568.46666666999</v>
      </c>
    </row>
    <row r="25" spans="1:2" x14ac:dyDescent="0.2">
      <c r="A25">
        <v>69.303037848605996</v>
      </c>
      <c r="B25">
        <v>414903.23333333002</v>
      </c>
    </row>
    <row r="26" spans="1:2" x14ac:dyDescent="0.2">
      <c r="A26">
        <v>66.229083665339004</v>
      </c>
      <c r="B26">
        <v>415571.16666667</v>
      </c>
    </row>
    <row r="27" spans="1:2" x14ac:dyDescent="0.2">
      <c r="A27">
        <v>69.710657370518007</v>
      </c>
      <c r="B27">
        <v>413451.7</v>
      </c>
    </row>
    <row r="28" spans="1:2" x14ac:dyDescent="0.2">
      <c r="A28">
        <v>65.689741035856997</v>
      </c>
      <c r="B28">
        <v>414710.96666666999</v>
      </c>
    </row>
    <row r="29" spans="1:2" x14ac:dyDescent="0.2">
      <c r="A29">
        <v>72.289840637449998</v>
      </c>
      <c r="B29">
        <v>415175.5</v>
      </c>
    </row>
    <row r="30" spans="1:2" x14ac:dyDescent="0.2">
      <c r="A30">
        <v>71.033117529880002</v>
      </c>
      <c r="B30">
        <v>415218.8</v>
      </c>
    </row>
    <row r="31" spans="1:2" x14ac:dyDescent="0.2">
      <c r="A31">
        <v>64.992778884461998</v>
      </c>
      <c r="B31">
        <v>414343.2</v>
      </c>
    </row>
    <row r="32" spans="1:2" x14ac:dyDescent="0.2">
      <c r="A32">
        <v>66.256225099602005</v>
      </c>
      <c r="B32">
        <v>414702.3</v>
      </c>
    </row>
    <row r="33" spans="1:10" x14ac:dyDescent="0.2">
      <c r="A33">
        <v>63.605079681275001</v>
      </c>
      <c r="B33">
        <v>414082.5</v>
      </c>
    </row>
    <row r="34" spans="1:10" x14ac:dyDescent="0.2">
      <c r="A34">
        <v>67.025647410358999</v>
      </c>
      <c r="B34">
        <v>414296</v>
      </c>
    </row>
    <row r="35" spans="1:10" x14ac:dyDescent="0.2">
      <c r="A35">
        <v>63.591882470119998</v>
      </c>
      <c r="B35">
        <v>415224.73333333002</v>
      </c>
    </row>
    <row r="36" spans="1:10" x14ac:dyDescent="0.2">
      <c r="A36">
        <v>68.514691235059999</v>
      </c>
      <c r="B36">
        <v>415549.4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67.30433266932279</v>
      </c>
      <c r="C48">
        <f>_xlfn.STDEV.S(A2:A36)</f>
        <v>1.9146497062739491</v>
      </c>
      <c r="D48">
        <f>((_xlfn.NORM.S.INV(1-$D$47/2) * $C$48) / ($D$47 * $B$48))^2</f>
        <v>0.21895109799968543</v>
      </c>
      <c r="E48">
        <f>((_xlfn.NORM.S.INV(1-$E$47/2) * $C$48) / ($E$47 * $B$48))^2</f>
        <v>1.243508582999671</v>
      </c>
      <c r="F48">
        <f>((_xlfn.NORM.S.INV(1-$F$47/2) * $C$48) / ($F$47 * $B$48))^2</f>
        <v>53.694125433800743</v>
      </c>
      <c r="H48">
        <f>_xlfn.NORM.S.INV(1-0.01/2)</f>
        <v>2.5758293035488999</v>
      </c>
      <c r="I48">
        <f>(_xlfn.NORM.S.INV(1-$F$47/2) * $C$48)</f>
        <v>4.9318108194517318</v>
      </c>
      <c r="J48">
        <f>($F$47 * $B$48)</f>
        <v>0.67304332669322786</v>
      </c>
    </row>
    <row r="49" spans="1:7" x14ac:dyDescent="0.2">
      <c r="A49" s="12" t="s">
        <v>9</v>
      </c>
      <c r="B49">
        <f>AVERAGE(B2:B36)</f>
        <v>414431.62952380953</v>
      </c>
      <c r="C49">
        <f>_xlfn.STDEV.S(B2:B36)</f>
        <v>1139.6165838652323</v>
      </c>
      <c r="D49">
        <f>((_xlfn.NORM.S.INV(1-$D$47/2) * $C$49) / ($D$47 * $B$49))^2</f>
        <v>2.0458144779115254E-3</v>
      </c>
      <c r="E49">
        <f>((_xlfn.NORM.S.INV(1-$E$47/2) * $C$49) / ($E$47 * $B$49))^2</f>
        <v>1.1618977414361393E-2</v>
      </c>
      <c r="F49">
        <f>((_xlfn.NORM.S.INV(1-$F$47/2) * $C$49) / ($F$47 * $B$49))^2</f>
        <v>0.50170207043869142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1874.5024713047733</v>
      </c>
      <c r="E55" s="20">
        <f>D55/SQRT(35)</f>
        <v>316.84874782446963</v>
      </c>
      <c r="F55" s="23">
        <f>$B$49-E55</f>
        <v>414114.78077598504</v>
      </c>
      <c r="G55" s="23">
        <f>SUM($B$49,E55)</f>
        <v>414748.47827163403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2233.6074605604249</v>
      </c>
      <c r="E56" s="20">
        <f>D56/SQRT(35)</f>
        <v>377.54856973720007</v>
      </c>
      <c r="F56" s="23">
        <f>$B$49-E56</f>
        <v>414054.08095407236</v>
      </c>
      <c r="G56" s="23">
        <f>SUM($B$49,E56)</f>
        <v>414809.17809354671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3.1493185137062749</v>
      </c>
      <c r="E63" s="20">
        <f>D63/SQRT(35)</f>
        <v>0.53233198827082928</v>
      </c>
      <c r="F63" s="23">
        <f>$B$48-E63</f>
        <v>66.772000681051964</v>
      </c>
      <c r="G63" s="23">
        <f>SUM($B$48,E63)</f>
        <v>67.836664657593616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3.7526444673071326</v>
      </c>
      <c r="E64" s="20">
        <f>D64/SQRT(35)</f>
        <v>0.6343126876056101</v>
      </c>
      <c r="F64" s="23">
        <f>$B$48-E64</f>
        <v>66.670019981717175</v>
      </c>
      <c r="G64" s="23">
        <f>SUM($B$48,E64)</f>
        <v>67.938645356928404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5147-9BA4-4D1E-BE49-CA7E507B6488}">
  <dimension ref="A1:J64"/>
  <sheetViews>
    <sheetView topLeftCell="A28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9" width="12.1640625" bestFit="1" customWidth="1"/>
    <col min="10" max="10" width="11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54.369521912350997</v>
      </c>
      <c r="B2">
        <v>415762.03333333001</v>
      </c>
    </row>
    <row r="3" spans="1:2" x14ac:dyDescent="0.2">
      <c r="A3">
        <v>56.154133466135001</v>
      </c>
      <c r="B3">
        <v>415525.43333332997</v>
      </c>
    </row>
    <row r="4" spans="1:2" x14ac:dyDescent="0.2">
      <c r="A4">
        <v>55.764691235059999</v>
      </c>
      <c r="B4">
        <v>414612.43333332997</v>
      </c>
    </row>
    <row r="5" spans="1:2" x14ac:dyDescent="0.2">
      <c r="A5">
        <v>55.037599601594003</v>
      </c>
      <c r="B5">
        <v>415773.73333333002</v>
      </c>
    </row>
    <row r="6" spans="1:2" x14ac:dyDescent="0.2">
      <c r="A6">
        <v>58.594870517928001</v>
      </c>
      <c r="B6">
        <v>412861.9</v>
      </c>
    </row>
    <row r="7" spans="1:2" x14ac:dyDescent="0.2">
      <c r="A7">
        <v>52.526892430278998</v>
      </c>
      <c r="B7">
        <v>416131.03333333001</v>
      </c>
    </row>
    <row r="8" spans="1:2" x14ac:dyDescent="0.2">
      <c r="A8">
        <v>52.880229083665</v>
      </c>
      <c r="B8">
        <v>415380.36666667002</v>
      </c>
    </row>
    <row r="9" spans="1:2" x14ac:dyDescent="0.2">
      <c r="A9">
        <v>56.687749003984003</v>
      </c>
      <c r="B9">
        <v>415342.43333332997</v>
      </c>
    </row>
    <row r="10" spans="1:2" x14ac:dyDescent="0.2">
      <c r="A10">
        <v>57.303535856574001</v>
      </c>
      <c r="B10">
        <v>415078.06666667003</v>
      </c>
    </row>
    <row r="11" spans="1:2" x14ac:dyDescent="0.2">
      <c r="A11">
        <v>53.957918326692997</v>
      </c>
      <c r="B11">
        <v>416617.63333332998</v>
      </c>
    </row>
    <row r="12" spans="1:2" x14ac:dyDescent="0.2">
      <c r="A12">
        <v>53.225348605577999</v>
      </c>
      <c r="B12">
        <v>414710.33333333</v>
      </c>
    </row>
    <row r="13" spans="1:2" x14ac:dyDescent="0.2">
      <c r="A13">
        <v>52.358814741035999</v>
      </c>
      <c r="B13">
        <v>415725.06666667003</v>
      </c>
    </row>
    <row r="14" spans="1:2" x14ac:dyDescent="0.2">
      <c r="A14">
        <v>57.036105577689</v>
      </c>
      <c r="B14">
        <v>414916.96666666999</v>
      </c>
    </row>
    <row r="15" spans="1:2" x14ac:dyDescent="0.2">
      <c r="A15">
        <v>57.264691235059999</v>
      </c>
      <c r="B15">
        <v>414034.13333332998</v>
      </c>
    </row>
    <row r="16" spans="1:2" x14ac:dyDescent="0.2">
      <c r="A16">
        <v>56.373754980080001</v>
      </c>
      <c r="B16">
        <v>414345.36666667002</v>
      </c>
    </row>
    <row r="17" spans="1:2" x14ac:dyDescent="0.2">
      <c r="A17">
        <v>53.065239043825002</v>
      </c>
      <c r="B17">
        <v>415188.76666666998</v>
      </c>
    </row>
    <row r="18" spans="1:2" x14ac:dyDescent="0.2">
      <c r="A18">
        <v>55.919322709162998</v>
      </c>
      <c r="B18">
        <v>414852.83333333</v>
      </c>
    </row>
    <row r="19" spans="1:2" x14ac:dyDescent="0.2">
      <c r="A19">
        <v>56.673306772907999</v>
      </c>
      <c r="B19">
        <v>416335.36666667002</v>
      </c>
    </row>
    <row r="20" spans="1:2" x14ac:dyDescent="0.2">
      <c r="A20">
        <v>54.473107569721002</v>
      </c>
      <c r="B20">
        <v>413420.83333333</v>
      </c>
    </row>
    <row r="21" spans="1:2" x14ac:dyDescent="0.2">
      <c r="A21">
        <v>54.345617529880002</v>
      </c>
      <c r="B21">
        <v>415223.9</v>
      </c>
    </row>
    <row r="22" spans="1:2" x14ac:dyDescent="0.2">
      <c r="A22">
        <v>55.306025896413999</v>
      </c>
      <c r="B22">
        <v>414192.1</v>
      </c>
    </row>
    <row r="23" spans="1:2" x14ac:dyDescent="0.2">
      <c r="A23">
        <v>55.745766932271003</v>
      </c>
      <c r="B23">
        <v>411401.46666666999</v>
      </c>
    </row>
    <row r="24" spans="1:2" x14ac:dyDescent="0.2">
      <c r="A24">
        <v>53.629233067728997</v>
      </c>
      <c r="B24">
        <v>414840.3</v>
      </c>
    </row>
    <row r="25" spans="1:2" x14ac:dyDescent="0.2">
      <c r="A25">
        <v>54.115288844622</v>
      </c>
      <c r="B25">
        <v>415148.93333332997</v>
      </c>
    </row>
    <row r="26" spans="1:2" x14ac:dyDescent="0.2">
      <c r="A26">
        <v>59.289840637449998</v>
      </c>
      <c r="B26">
        <v>414792.86666667002</v>
      </c>
    </row>
    <row r="27" spans="1:2" x14ac:dyDescent="0.2">
      <c r="A27">
        <v>50.081922310757001</v>
      </c>
      <c r="B27">
        <v>414590.16666667</v>
      </c>
    </row>
    <row r="28" spans="1:2" x14ac:dyDescent="0.2">
      <c r="A28">
        <v>56.078685258964001</v>
      </c>
      <c r="B28">
        <v>414646.9</v>
      </c>
    </row>
    <row r="29" spans="1:2" x14ac:dyDescent="0.2">
      <c r="A29">
        <v>56.677539840637003</v>
      </c>
      <c r="B29">
        <v>413674.63333332998</v>
      </c>
    </row>
    <row r="30" spans="1:2" x14ac:dyDescent="0.2">
      <c r="A30">
        <v>55.378237051793</v>
      </c>
      <c r="B30">
        <v>412751.2</v>
      </c>
    </row>
    <row r="31" spans="1:2" x14ac:dyDescent="0.2">
      <c r="A31">
        <v>53.055527888446001</v>
      </c>
      <c r="B31">
        <v>413731.26666666998</v>
      </c>
    </row>
    <row r="32" spans="1:2" x14ac:dyDescent="0.2">
      <c r="A32">
        <v>58.204930278884</v>
      </c>
      <c r="B32">
        <v>413949.9</v>
      </c>
    </row>
    <row r="33" spans="1:10" x14ac:dyDescent="0.2">
      <c r="A33">
        <v>56.920567729083999</v>
      </c>
      <c r="B33">
        <v>415409.7</v>
      </c>
    </row>
    <row r="34" spans="1:10" x14ac:dyDescent="0.2">
      <c r="A34">
        <v>58.466882470119998</v>
      </c>
      <c r="B34">
        <v>414704.2</v>
      </c>
    </row>
    <row r="35" spans="1:10" x14ac:dyDescent="0.2">
      <c r="A35">
        <v>56.308764940239001</v>
      </c>
      <c r="B35">
        <v>414117.66666667</v>
      </c>
    </row>
    <row r="36" spans="1:10" x14ac:dyDescent="0.2">
      <c r="A36">
        <v>55.645667330677</v>
      </c>
      <c r="B36">
        <v>415199.86666667002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55.397638019351135</v>
      </c>
      <c r="C48">
        <f>_xlfn.STDEV.S(A2:A36)</f>
        <v>2.0353424896433601</v>
      </c>
      <c r="D48">
        <f>((_xlfn.NORM.S.INV(1-$D$47/2) * $C$48) / ($D$47 * $B$48))^2</f>
        <v>0.36521366187966275</v>
      </c>
      <c r="E48">
        <f>((_xlfn.NORM.S.INV(1-$E$47/2) * $C$48) / ($E$47 * $B$48))^2</f>
        <v>2.0741906632354632</v>
      </c>
      <c r="F48">
        <f>((_xlfn.NORM.S.INV(1-$F$47/2) * $C$48) / ($F$47 * $B$48))^2</f>
        <v>89.562593429572459</v>
      </c>
      <c r="H48">
        <f>_xlfn.NORM.S.INV(1-0.01/2)</f>
        <v>2.5758293035488999</v>
      </c>
      <c r="I48">
        <f>(_xlfn.NORM.S.INV(1-$F$47/2) * $C$48)</f>
        <v>5.2426948275815404</v>
      </c>
      <c r="J48">
        <f>($F$47 * $B$48)</f>
        <v>0.55397638019351136</v>
      </c>
    </row>
    <row r="49" spans="1:7" x14ac:dyDescent="0.2">
      <c r="A49" s="12" t="s">
        <v>9</v>
      </c>
      <c r="B49">
        <f>AVERAGE(B2:B36)</f>
        <v>414713.99428571429</v>
      </c>
      <c r="C49">
        <f>_xlfn.STDEV.S(B2:B36)</f>
        <v>1063.0946917185781</v>
      </c>
      <c r="D49">
        <f>((_xlfn.NORM.S.INV(1-$D$47/2) * $C$49) / ($D$47 * $B$49))^2</f>
        <v>1.7778742161529829E-3</v>
      </c>
      <c r="E49">
        <f>((_xlfn.NORM.S.INV(1-$E$47/2) * $C$49) / ($E$47 * $B$49))^2</f>
        <v>1.0097240285514451E-2</v>
      </c>
      <c r="F49">
        <f>((_xlfn.NORM.S.INV(1-$F$47/2) * $C$49) / ($F$47 * $B$49))^2</f>
        <v>0.43599416508875222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1748.6351594661598</v>
      </c>
      <c r="E55" s="20">
        <f>D55/SQRT(35)</f>
        <v>295.57328899814058</v>
      </c>
      <c r="F55" s="23">
        <f>$B$49-E55</f>
        <v>414418.42099671613</v>
      </c>
      <c r="G55" s="23">
        <f>SUM($B$49,E55)</f>
        <v>415009.56757471245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2083.6273079241241</v>
      </c>
      <c r="E56" s="20">
        <f>D56/SQRT(35)</f>
        <v>352.19729691211967</v>
      </c>
      <c r="F56" s="23">
        <f>$B$49-E56</f>
        <v>414361.79698880215</v>
      </c>
      <c r="G56" s="23">
        <f>SUM($B$49,E56)</f>
        <v>415066.19158262643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3.3478404761783187</v>
      </c>
      <c r="E63" s="20">
        <f>D63/SQRT(35)</f>
        <v>0.56588832451888982</v>
      </c>
      <c r="F63" s="23">
        <f>$B$48-E63</f>
        <v>54.831749694832247</v>
      </c>
      <c r="G63" s="23">
        <f>SUM($B$48,E63)</f>
        <v>55.963526343870022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3.9891979759050726</v>
      </c>
      <c r="E64" s="20">
        <f>D64/SQRT(35)</f>
        <v>0.67429752845811164</v>
      </c>
      <c r="F64" s="23">
        <f>$B$48-E64</f>
        <v>54.723340490893023</v>
      </c>
      <c r="G64" s="23">
        <f>SUM($B$48,E64)</f>
        <v>56.071935547809247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3431-776C-4203-ABF1-182405E162EE}">
  <dimension ref="A1:J64"/>
  <sheetViews>
    <sheetView topLeftCell="A22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48.667081673307003</v>
      </c>
      <c r="B2">
        <v>415053.16666667</v>
      </c>
    </row>
    <row r="3" spans="1:2" x14ac:dyDescent="0.2">
      <c r="A3">
        <v>48.614292828685002</v>
      </c>
      <c r="B3">
        <v>415688.1</v>
      </c>
    </row>
    <row r="4" spans="1:2" x14ac:dyDescent="0.2">
      <c r="A4">
        <v>45.923306772907999</v>
      </c>
      <c r="B4">
        <v>416175.36666667002</v>
      </c>
    </row>
    <row r="5" spans="1:2" x14ac:dyDescent="0.2">
      <c r="A5">
        <v>47.786603585656998</v>
      </c>
      <c r="B5">
        <v>415353.46666666999</v>
      </c>
    </row>
    <row r="6" spans="1:2" x14ac:dyDescent="0.2">
      <c r="A6">
        <v>49.918326693227002</v>
      </c>
      <c r="B6">
        <v>416635.16666667</v>
      </c>
    </row>
    <row r="7" spans="1:2" x14ac:dyDescent="0.2">
      <c r="A7">
        <v>49.459661354582003</v>
      </c>
      <c r="B7">
        <v>413702.16666667</v>
      </c>
    </row>
    <row r="8" spans="1:2" x14ac:dyDescent="0.2">
      <c r="A8">
        <v>46.045816733068001</v>
      </c>
      <c r="B8">
        <v>414874.2</v>
      </c>
    </row>
    <row r="9" spans="1:2" x14ac:dyDescent="0.2">
      <c r="A9">
        <v>48.642430278884</v>
      </c>
      <c r="B9">
        <v>412404.33333333</v>
      </c>
    </row>
    <row r="10" spans="1:2" x14ac:dyDescent="0.2">
      <c r="A10">
        <v>46.331175298805</v>
      </c>
      <c r="B10">
        <v>414794.86666667002</v>
      </c>
    </row>
    <row r="11" spans="1:2" x14ac:dyDescent="0.2">
      <c r="A11">
        <v>51.207420318724999</v>
      </c>
      <c r="B11">
        <v>416681.56666667003</v>
      </c>
    </row>
    <row r="12" spans="1:2" x14ac:dyDescent="0.2">
      <c r="A12">
        <v>50.520169322709002</v>
      </c>
      <c r="B12">
        <v>415296.03333333001</v>
      </c>
    </row>
    <row r="13" spans="1:2" x14ac:dyDescent="0.2">
      <c r="A13">
        <v>50.505478087649003</v>
      </c>
      <c r="B13">
        <v>412635.56666667003</v>
      </c>
    </row>
    <row r="14" spans="1:2" x14ac:dyDescent="0.2">
      <c r="A14">
        <v>50.75</v>
      </c>
      <c r="B14">
        <v>414121.83333333</v>
      </c>
    </row>
    <row r="15" spans="1:2" x14ac:dyDescent="0.2">
      <c r="A15">
        <v>48.642679282868997</v>
      </c>
      <c r="B15">
        <v>414434.93333332997</v>
      </c>
    </row>
    <row r="16" spans="1:2" x14ac:dyDescent="0.2">
      <c r="A16">
        <v>49.639940239044002</v>
      </c>
      <c r="B16">
        <v>414897.5</v>
      </c>
    </row>
    <row r="17" spans="1:2" x14ac:dyDescent="0.2">
      <c r="A17">
        <v>48.370517928287001</v>
      </c>
      <c r="B17">
        <v>415068.7</v>
      </c>
    </row>
    <row r="18" spans="1:2" x14ac:dyDescent="0.2">
      <c r="A18">
        <v>50.120268924302998</v>
      </c>
      <c r="B18">
        <v>413911.1</v>
      </c>
    </row>
    <row r="19" spans="1:2" x14ac:dyDescent="0.2">
      <c r="A19">
        <v>48.740039840637003</v>
      </c>
      <c r="B19">
        <v>416708</v>
      </c>
    </row>
    <row r="20" spans="1:2" x14ac:dyDescent="0.2">
      <c r="A20">
        <v>49.272161354582003</v>
      </c>
      <c r="B20">
        <v>416105.53333333001</v>
      </c>
    </row>
    <row r="21" spans="1:2" x14ac:dyDescent="0.2">
      <c r="A21">
        <v>49.863545816733001</v>
      </c>
      <c r="B21">
        <v>414926.53333333001</v>
      </c>
    </row>
    <row r="22" spans="1:2" x14ac:dyDescent="0.2">
      <c r="A22">
        <v>48.693227091632998</v>
      </c>
      <c r="B22">
        <v>415195.56666667003</v>
      </c>
    </row>
    <row r="23" spans="1:2" x14ac:dyDescent="0.2">
      <c r="A23">
        <v>47.910856573704997</v>
      </c>
      <c r="B23">
        <v>415410</v>
      </c>
    </row>
    <row r="24" spans="1:2" x14ac:dyDescent="0.2">
      <c r="A24">
        <v>47.435009960159</v>
      </c>
      <c r="B24">
        <v>415418.23333333002</v>
      </c>
    </row>
    <row r="25" spans="1:2" x14ac:dyDescent="0.2">
      <c r="A25">
        <v>47.413346613545997</v>
      </c>
      <c r="B25">
        <v>414694.13333332998</v>
      </c>
    </row>
    <row r="26" spans="1:2" x14ac:dyDescent="0.2">
      <c r="A26">
        <v>48.576444223107998</v>
      </c>
      <c r="B26">
        <v>414985.96666666999</v>
      </c>
    </row>
    <row r="27" spans="1:2" x14ac:dyDescent="0.2">
      <c r="A27">
        <v>47.826942231076004</v>
      </c>
      <c r="B27">
        <v>414169.63333332998</v>
      </c>
    </row>
    <row r="28" spans="1:2" x14ac:dyDescent="0.2">
      <c r="A28">
        <v>51.184013944222997</v>
      </c>
      <c r="B28">
        <v>414136.5</v>
      </c>
    </row>
    <row r="29" spans="1:2" x14ac:dyDescent="0.2">
      <c r="A29">
        <v>49.066484063745001</v>
      </c>
      <c r="B29">
        <v>413089.56666667003</v>
      </c>
    </row>
    <row r="30" spans="1:2" x14ac:dyDescent="0.2">
      <c r="A30">
        <v>50.435507968126998</v>
      </c>
      <c r="B30">
        <v>415852</v>
      </c>
    </row>
    <row r="31" spans="1:2" x14ac:dyDescent="0.2">
      <c r="A31">
        <v>47.420816733068001</v>
      </c>
      <c r="B31">
        <v>411900.63333332998</v>
      </c>
    </row>
    <row r="32" spans="1:2" x14ac:dyDescent="0.2">
      <c r="A32">
        <v>47.546065737051997</v>
      </c>
      <c r="B32">
        <v>416622.63333332998</v>
      </c>
    </row>
    <row r="33" spans="1:10" x14ac:dyDescent="0.2">
      <c r="A33">
        <v>52.201444223107998</v>
      </c>
      <c r="B33">
        <v>416204.9</v>
      </c>
    </row>
    <row r="34" spans="1:10" x14ac:dyDescent="0.2">
      <c r="A34">
        <v>49.366533864541999</v>
      </c>
      <c r="B34">
        <v>415805</v>
      </c>
    </row>
    <row r="35" spans="1:10" x14ac:dyDescent="0.2">
      <c r="A35">
        <v>51.302290836653</v>
      </c>
      <c r="B35">
        <v>415597.03333333001</v>
      </c>
    </row>
    <row r="36" spans="1:10" x14ac:dyDescent="0.2">
      <c r="A36">
        <v>51.949452191234997</v>
      </c>
      <c r="B36">
        <v>413644.13333332998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49.067124359704017</v>
      </c>
      <c r="C48">
        <f>_xlfn.STDEV.S(A2:A36)</f>
        <v>1.6022925342954466</v>
      </c>
      <c r="D48">
        <f>((_xlfn.NORM.S.INV(1-$D$47/2) * $C$48) / ($D$47 * $B$48))^2</f>
        <v>0.28850737489272271</v>
      </c>
      <c r="E48">
        <f>((_xlfn.NORM.S.INV(1-$E$47/2) * $C$48) / ($E$47 * $B$48))^2</f>
        <v>1.6385457767301084</v>
      </c>
      <c r="F48">
        <f>((_xlfn.NORM.S.INV(1-$F$47/2) * $C$48) / ($F$47 * $B$48))^2</f>
        <v>70.751648736142386</v>
      </c>
      <c r="H48">
        <f>_xlfn.NORM.S.INV(1-0.01/2)</f>
        <v>2.5758293035488999</v>
      </c>
      <c r="I48">
        <f>(_xlfn.NORM.S.INV(1-$F$47/2) * $C$48)</f>
        <v>4.1272320626958425</v>
      </c>
      <c r="J48">
        <f>($F$47 * $B$48)</f>
        <v>0.49067124359704017</v>
      </c>
    </row>
    <row r="49" spans="1:7" x14ac:dyDescent="0.2">
      <c r="A49" s="12" t="s">
        <v>9</v>
      </c>
      <c r="B49">
        <f>AVERAGE(B2:B36)</f>
        <v>414919.83047619025</v>
      </c>
      <c r="C49">
        <f>_xlfn.STDEV.S(B2:B36)</f>
        <v>1220.8109230462946</v>
      </c>
      <c r="D49">
        <f>((_xlfn.NORM.S.INV(1-$D$47/2) * $C$49) / ($D$47 * $B$49))^2</f>
        <v>2.3421944247166084E-3</v>
      </c>
      <c r="E49">
        <f>((_xlfn.NORM.S.INV(1-$E$47/2) * $C$49) / ($E$47 * $B$49))^2</f>
        <v>1.3302234593924094E-2</v>
      </c>
      <c r="F49">
        <f>((_xlfn.NORM.S.INV(1-$F$47/2) * $C$49) / ($F$47 * $B$49))^2</f>
        <v>0.57438433686805712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2008.0552745946716</v>
      </c>
      <c r="E55" s="20">
        <f>D55/SQRT(35)</f>
        <v>339.42329181074524</v>
      </c>
      <c r="F55" s="23">
        <f>$B$49-E55</f>
        <v>414580.40718437952</v>
      </c>
      <c r="G55" s="23">
        <f>SUM($B$49,E55)</f>
        <v>415259.25376800098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2392.7454411038366</v>
      </c>
      <c r="E56" s="20">
        <f>D56/SQRT(35)</f>
        <v>404.44779800623371</v>
      </c>
      <c r="F56" s="23">
        <f>$B$49-E56</f>
        <v>414515.38267818402</v>
      </c>
      <c r="G56" s="23">
        <f>SUM($B$49,E56)</f>
        <v>415324.27827419649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2.6355366864731304</v>
      </c>
      <c r="E63" s="20">
        <f>D63/SQRT(35)</f>
        <v>0.44548700881317249</v>
      </c>
      <c r="F63" s="23">
        <f>$B$48-E63</f>
        <v>48.621637350890843</v>
      </c>
      <c r="G63" s="23">
        <f>SUM($B$48,E63)</f>
        <v>49.512611368517192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3.1404356599164842</v>
      </c>
      <c r="E64" s="20">
        <f>D64/SQRT(35)</f>
        <v>0.53083051193591468</v>
      </c>
      <c r="F64" s="23">
        <f>$B$48-E64</f>
        <v>48.5362938477681</v>
      </c>
      <c r="G64" s="23">
        <f>SUM($B$48,E64)</f>
        <v>49.597954871639935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1DCF-F190-466B-8BC0-3AD3C7C3B6AC}">
  <dimension ref="A1:J64"/>
  <sheetViews>
    <sheetView topLeftCell="A23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6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9160.1788844622006</v>
      </c>
      <c r="B2">
        <v>39760.933333333</v>
      </c>
    </row>
    <row r="3" spans="1:2" x14ac:dyDescent="0.2">
      <c r="A3">
        <v>9166.0452191234999</v>
      </c>
      <c r="B3">
        <v>39751.633333332997</v>
      </c>
    </row>
    <row r="4" spans="1:2" x14ac:dyDescent="0.2">
      <c r="A4">
        <v>9178.3982071712999</v>
      </c>
      <c r="B4">
        <v>39756.433333333</v>
      </c>
    </row>
    <row r="5" spans="1:2" x14ac:dyDescent="0.2">
      <c r="A5">
        <v>9138.4107569721</v>
      </c>
      <c r="B5">
        <v>39755.366666667003</v>
      </c>
    </row>
    <row r="6" spans="1:2" x14ac:dyDescent="0.2">
      <c r="A6">
        <v>9182.6697211155006</v>
      </c>
      <c r="B6">
        <v>39751.466666667002</v>
      </c>
    </row>
    <row r="7" spans="1:2" x14ac:dyDescent="0.2">
      <c r="A7">
        <v>9138.7145418327</v>
      </c>
      <c r="B7">
        <v>39756.766666666997</v>
      </c>
    </row>
    <row r="8" spans="1:2" x14ac:dyDescent="0.2">
      <c r="A8">
        <v>9159.8515936255008</v>
      </c>
      <c r="B8">
        <v>39746.866666667003</v>
      </c>
    </row>
    <row r="9" spans="1:2" x14ac:dyDescent="0.2">
      <c r="A9">
        <v>9137.3774900398003</v>
      </c>
      <c r="B9">
        <v>39749.833333333001</v>
      </c>
    </row>
    <row r="10" spans="1:2" x14ac:dyDescent="0.2">
      <c r="A10">
        <v>9146.3814741036003</v>
      </c>
      <c r="B10">
        <v>39748.766666666997</v>
      </c>
    </row>
    <row r="11" spans="1:2" x14ac:dyDescent="0.2">
      <c r="A11">
        <v>9139.9944223107996</v>
      </c>
      <c r="B11">
        <v>39748.466666667002</v>
      </c>
    </row>
    <row r="12" spans="1:2" x14ac:dyDescent="0.2">
      <c r="A12">
        <v>9120.2354581673007</v>
      </c>
      <c r="B12">
        <v>39748.333333333001</v>
      </c>
    </row>
    <row r="13" spans="1:2" x14ac:dyDescent="0.2">
      <c r="A13">
        <v>9157.0231075696993</v>
      </c>
      <c r="B13">
        <v>39755.300000000003</v>
      </c>
    </row>
    <row r="14" spans="1:2" x14ac:dyDescent="0.2">
      <c r="A14">
        <v>9166.2073705178991</v>
      </c>
      <c r="B14">
        <v>39750.266666666997</v>
      </c>
    </row>
    <row r="15" spans="1:2" x14ac:dyDescent="0.2">
      <c r="A15">
        <v>9194.4561752987993</v>
      </c>
      <c r="B15">
        <v>39756.733333333003</v>
      </c>
    </row>
    <row r="16" spans="1:2" x14ac:dyDescent="0.2">
      <c r="A16">
        <v>9144.6310756971998</v>
      </c>
      <c r="B16">
        <v>39751.833333333001</v>
      </c>
    </row>
    <row r="17" spans="1:2" x14ac:dyDescent="0.2">
      <c r="A17">
        <v>9146.1342629482006</v>
      </c>
      <c r="B17">
        <v>39751.566666667</v>
      </c>
    </row>
    <row r="18" spans="1:2" x14ac:dyDescent="0.2">
      <c r="A18">
        <v>9151.8547808764997</v>
      </c>
      <c r="B18">
        <v>39755.966666667002</v>
      </c>
    </row>
    <row r="19" spans="1:2" x14ac:dyDescent="0.2">
      <c r="A19">
        <v>9171.1442231075998</v>
      </c>
      <c r="B19">
        <v>39756.933333333</v>
      </c>
    </row>
    <row r="20" spans="1:2" x14ac:dyDescent="0.2">
      <c r="A20">
        <v>9167.3105577689003</v>
      </c>
      <c r="B20">
        <v>39754.633333332997</v>
      </c>
    </row>
    <row r="21" spans="1:2" x14ac:dyDescent="0.2">
      <c r="A21">
        <v>9201.3503984063991</v>
      </c>
      <c r="B21">
        <v>39757.266666666997</v>
      </c>
    </row>
    <row r="22" spans="1:2" x14ac:dyDescent="0.2">
      <c r="A22">
        <v>9169.8055776891997</v>
      </c>
      <c r="B22">
        <v>39748.866666667003</v>
      </c>
    </row>
    <row r="23" spans="1:2" x14ac:dyDescent="0.2">
      <c r="A23">
        <v>9161.6191235059996</v>
      </c>
      <c r="B23">
        <v>39755.5</v>
      </c>
    </row>
    <row r="24" spans="1:2" x14ac:dyDescent="0.2">
      <c r="A24">
        <v>9157.0974103585995</v>
      </c>
      <c r="B24">
        <v>39751.199999999997</v>
      </c>
    </row>
    <row r="25" spans="1:2" x14ac:dyDescent="0.2">
      <c r="A25">
        <v>9163.9388446214998</v>
      </c>
      <c r="B25">
        <v>39752.199999999997</v>
      </c>
    </row>
    <row r="26" spans="1:2" x14ac:dyDescent="0.2">
      <c r="A26">
        <v>9174.1215139441993</v>
      </c>
      <c r="B26">
        <v>39753.566666667</v>
      </c>
    </row>
    <row r="27" spans="1:2" x14ac:dyDescent="0.2">
      <c r="A27">
        <v>9167.7583665339007</v>
      </c>
      <c r="B27">
        <v>39749.699999999997</v>
      </c>
    </row>
    <row r="28" spans="1:2" x14ac:dyDescent="0.2">
      <c r="A28">
        <v>9167.7111553784998</v>
      </c>
      <c r="B28">
        <v>39753.266666666997</v>
      </c>
    </row>
    <row r="29" spans="1:2" x14ac:dyDescent="0.2">
      <c r="A29">
        <v>9171.7027888445991</v>
      </c>
      <c r="B29">
        <v>39755.699999999997</v>
      </c>
    </row>
    <row r="30" spans="1:2" x14ac:dyDescent="0.2">
      <c r="A30">
        <v>9154.5677290836993</v>
      </c>
      <c r="B30">
        <v>39745.699999999997</v>
      </c>
    </row>
    <row r="31" spans="1:2" x14ac:dyDescent="0.2">
      <c r="A31">
        <v>9151.8906374502003</v>
      </c>
      <c r="B31">
        <v>39748.433333333</v>
      </c>
    </row>
    <row r="32" spans="1:2" x14ac:dyDescent="0.2">
      <c r="A32">
        <v>9169.7585657371001</v>
      </c>
      <c r="B32">
        <v>39747.566666667</v>
      </c>
    </row>
    <row r="33" spans="1:10" x14ac:dyDescent="0.2">
      <c r="A33">
        <v>9189.3725099601997</v>
      </c>
      <c r="B33">
        <v>39755.5</v>
      </c>
    </row>
    <row r="34" spans="1:10" x14ac:dyDescent="0.2">
      <c r="A34">
        <v>9162.5551792828992</v>
      </c>
      <c r="B34">
        <v>39756</v>
      </c>
    </row>
    <row r="35" spans="1:10" x14ac:dyDescent="0.2">
      <c r="A35">
        <v>9164.2013944222999</v>
      </c>
      <c r="B35">
        <v>39751.766666666997</v>
      </c>
    </row>
    <row r="36" spans="1:10" x14ac:dyDescent="0.2">
      <c r="A36">
        <v>9133.0535856574006</v>
      </c>
      <c r="B36">
        <v>39753.366666667003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9160.7864029595967</v>
      </c>
      <c r="C48">
        <f>_xlfn.STDEV.S(A2:A36)</f>
        <v>17.543566177499805</v>
      </c>
      <c r="D48">
        <f>((_xlfn.NORM.S.INV(1-$D$47/2) * $C$48) / ($D$47 * $B$48))^2</f>
        <v>9.922583411204936E-4</v>
      </c>
      <c r="E48">
        <f>((_xlfn.NORM.S.INV(1-$E$47/2) * $C$48) / ($E$47 * $B$48))^2</f>
        <v>5.6354216763878579E-3</v>
      </c>
      <c r="F48">
        <f>((_xlfn.NORM.S.INV(1-$F$47/2) * $C$48) / ($F$47 * $B$48))^2</f>
        <v>0.24333490134374833</v>
      </c>
      <c r="H48">
        <f>_xlfn.NORM.S.INV(1-0.01/2)</f>
        <v>2.5758293035488999</v>
      </c>
      <c r="I48">
        <f>(_xlfn.NORM.S.INV(1-$F$47/2) * $C$48)</f>
        <v>45.189231848753359</v>
      </c>
      <c r="J48">
        <f>($F$47 * $B$48)</f>
        <v>91.607864029595973</v>
      </c>
    </row>
    <row r="49" spans="1:7" x14ac:dyDescent="0.2">
      <c r="A49" s="12" t="s">
        <v>9</v>
      </c>
      <c r="B49">
        <f>AVERAGE(B2:B36)</f>
        <v>39752.677142857196</v>
      </c>
      <c r="C49">
        <f>_xlfn.STDEV.S(B2:B36)</f>
        <v>3.6161291858898466</v>
      </c>
      <c r="D49">
        <f>((_xlfn.NORM.S.INV(1-$D$47/2) * $C$49) / ($D$47 * $B$49))^2</f>
        <v>2.2387707542900767E-6</v>
      </c>
      <c r="E49">
        <f>((_xlfn.NORM.S.INV(1-$E$47/2) * $C$49) / ($E$47 * $B$49))^2</f>
        <v>1.271485127849123E-5</v>
      </c>
      <c r="F49">
        <f>((_xlfn.NORM.S.INV(1-$F$47/2) * $C$49) / ($F$47 * $B$49))^2</f>
        <v>5.4902139699956551E-4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5.9480032069359865</v>
      </c>
      <c r="E55" s="20">
        <f>D55/SQRT(35)</f>
        <v>1.005396043496162</v>
      </c>
      <c r="F55" s="23">
        <f>$B$49-E55</f>
        <v>39751.671746813699</v>
      </c>
      <c r="G55" s="23">
        <f>SUM($B$49,E55)</f>
        <v>39753.682538900692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7.0874829677882438</v>
      </c>
      <c r="E56" s="20">
        <f>D56/SQRT(35)</f>
        <v>1.1980032771084257</v>
      </c>
      <c r="F56" s="23">
        <f>$B$49-E56</f>
        <v>39751.479139580086</v>
      </c>
      <c r="G56" s="23">
        <f>SUM($B$49,E56)</f>
        <v>39753.875146134305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28.856598456723717</v>
      </c>
      <c r="E63" s="20">
        <f>D63/SQRT(35)</f>
        <v>4.8776553925384789</v>
      </c>
      <c r="F63" s="23">
        <f>$B$48-E63</f>
        <v>9155.9087475670585</v>
      </c>
      <c r="G63" s="23">
        <f>SUM($B$48,E63)</f>
        <v>9165.6640583521348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34.384757868294635</v>
      </c>
      <c r="E64" s="20">
        <f>D64/SQRT(35)</f>
        <v>5.8120848820398097</v>
      </c>
      <c r="F64" s="23">
        <f>$B$48-E64</f>
        <v>9154.9743180775567</v>
      </c>
      <c r="G64" s="23">
        <f>SUM($B$48,E64)</f>
        <v>9166.5984878416366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55AA-86EC-4C68-8C8E-575C022C1797}">
  <dimension ref="A1:J64"/>
  <sheetViews>
    <sheetView topLeftCell="A26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866.45557768924004</v>
      </c>
      <c r="B2">
        <v>473772.23333333002</v>
      </c>
    </row>
    <row r="3" spans="1:2" x14ac:dyDescent="0.2">
      <c r="A3">
        <v>941.46235059761</v>
      </c>
      <c r="B3">
        <v>478930.43333332997</v>
      </c>
    </row>
    <row r="4" spans="1:2" x14ac:dyDescent="0.2">
      <c r="A4">
        <v>754.15298804781003</v>
      </c>
      <c r="B4">
        <v>481854.13333332998</v>
      </c>
    </row>
    <row r="5" spans="1:2" x14ac:dyDescent="0.2">
      <c r="A5">
        <v>729.99780876494003</v>
      </c>
      <c r="B5">
        <v>488140.53333333001</v>
      </c>
    </row>
    <row r="6" spans="1:2" x14ac:dyDescent="0.2">
      <c r="A6">
        <v>798.13227091632996</v>
      </c>
      <c r="B6">
        <v>483631.46666666999</v>
      </c>
    </row>
    <row r="7" spans="1:2" x14ac:dyDescent="0.2">
      <c r="A7">
        <v>767.74780876494003</v>
      </c>
      <c r="B7">
        <v>485616.33333333</v>
      </c>
    </row>
    <row r="8" spans="1:2" x14ac:dyDescent="0.2">
      <c r="A8">
        <v>909.81613545817004</v>
      </c>
      <c r="B8">
        <v>475952.8</v>
      </c>
    </row>
    <row r="9" spans="1:2" x14ac:dyDescent="0.2">
      <c r="A9">
        <v>791.05079681275004</v>
      </c>
      <c r="B9">
        <v>484581.26666666998</v>
      </c>
    </row>
    <row r="10" spans="1:2" x14ac:dyDescent="0.2">
      <c r="A10">
        <v>809.73844621514002</v>
      </c>
      <c r="B10">
        <v>484130.1</v>
      </c>
    </row>
    <row r="11" spans="1:2" x14ac:dyDescent="0.2">
      <c r="A11">
        <v>873.08466135458002</v>
      </c>
      <c r="B11">
        <v>479279.6</v>
      </c>
    </row>
    <row r="12" spans="1:2" x14ac:dyDescent="0.2">
      <c r="A12">
        <v>844.01892430278997</v>
      </c>
      <c r="B12">
        <v>482601.03333333001</v>
      </c>
    </row>
    <row r="13" spans="1:2" x14ac:dyDescent="0.2">
      <c r="A13">
        <v>754.23764940239005</v>
      </c>
      <c r="B13">
        <v>485053.16666667</v>
      </c>
    </row>
    <row r="14" spans="1:2" x14ac:dyDescent="0.2">
      <c r="A14">
        <v>817.78505976096005</v>
      </c>
      <c r="B14">
        <v>478022.86666667002</v>
      </c>
    </row>
    <row r="15" spans="1:2" x14ac:dyDescent="0.2">
      <c r="A15">
        <v>910.01055776891997</v>
      </c>
      <c r="B15">
        <v>478894.03333333001</v>
      </c>
    </row>
    <row r="16" spans="1:2" x14ac:dyDescent="0.2">
      <c r="A16">
        <v>928.97888446214995</v>
      </c>
      <c r="B16">
        <v>475215.16666667</v>
      </c>
    </row>
    <row r="17" spans="1:2" x14ac:dyDescent="0.2">
      <c r="A17">
        <v>865.12430278884005</v>
      </c>
      <c r="B17">
        <v>479787.76666666998</v>
      </c>
    </row>
    <row r="18" spans="1:2" x14ac:dyDescent="0.2">
      <c r="A18">
        <v>820.74820717131001</v>
      </c>
      <c r="B18">
        <v>478856.93333332997</v>
      </c>
    </row>
    <row r="19" spans="1:2" x14ac:dyDescent="0.2">
      <c r="A19">
        <v>766.71394422311005</v>
      </c>
      <c r="B19">
        <v>483358.06666667003</v>
      </c>
    </row>
    <row r="20" spans="1:2" x14ac:dyDescent="0.2">
      <c r="A20">
        <v>785.82191235059997</v>
      </c>
      <c r="B20">
        <v>485158.3</v>
      </c>
    </row>
    <row r="21" spans="1:2" x14ac:dyDescent="0.2">
      <c r="A21">
        <v>909.64840637450004</v>
      </c>
      <c r="B21">
        <v>475189.73333333002</v>
      </c>
    </row>
    <row r="22" spans="1:2" x14ac:dyDescent="0.2">
      <c r="A22">
        <v>914.53725099602002</v>
      </c>
      <c r="B22">
        <v>474616.9</v>
      </c>
    </row>
    <row r="23" spans="1:2" x14ac:dyDescent="0.2">
      <c r="A23">
        <v>837.98725099601995</v>
      </c>
      <c r="B23">
        <v>482709.8</v>
      </c>
    </row>
    <row r="24" spans="1:2" x14ac:dyDescent="0.2">
      <c r="A24">
        <v>838.90119521912004</v>
      </c>
      <c r="B24">
        <v>480499.06666667003</v>
      </c>
    </row>
    <row r="25" spans="1:2" x14ac:dyDescent="0.2">
      <c r="A25">
        <v>876.06992031873006</v>
      </c>
      <c r="B25">
        <v>481261.13333332998</v>
      </c>
    </row>
    <row r="26" spans="1:2" x14ac:dyDescent="0.2">
      <c r="A26">
        <v>792.66553784861003</v>
      </c>
      <c r="B26">
        <v>480013.66666667</v>
      </c>
    </row>
    <row r="27" spans="1:2" x14ac:dyDescent="0.2">
      <c r="A27">
        <v>865.30557768923995</v>
      </c>
      <c r="B27">
        <v>481477.06666667003</v>
      </c>
    </row>
    <row r="28" spans="1:2" x14ac:dyDescent="0.2">
      <c r="A28">
        <v>910.03147410358997</v>
      </c>
      <c r="B28">
        <v>477818.5</v>
      </c>
    </row>
    <row r="29" spans="1:2" x14ac:dyDescent="0.2">
      <c r="A29">
        <v>820.56832669323001</v>
      </c>
      <c r="B29">
        <v>480042.86666667002</v>
      </c>
    </row>
    <row r="30" spans="1:2" x14ac:dyDescent="0.2">
      <c r="A30">
        <v>952.28007968126997</v>
      </c>
      <c r="B30">
        <v>476036.3</v>
      </c>
    </row>
    <row r="31" spans="1:2" x14ac:dyDescent="0.2">
      <c r="A31">
        <v>779.41892430278995</v>
      </c>
      <c r="B31">
        <v>482897.4</v>
      </c>
    </row>
    <row r="32" spans="1:2" x14ac:dyDescent="0.2">
      <c r="A32">
        <v>893.31892430279004</v>
      </c>
      <c r="B32">
        <v>478771.20000000001</v>
      </c>
    </row>
    <row r="33" spans="1:10" x14ac:dyDescent="0.2">
      <c r="A33">
        <v>787.94063745020003</v>
      </c>
      <c r="B33">
        <v>485016.9</v>
      </c>
    </row>
    <row r="34" spans="1:10" x14ac:dyDescent="0.2">
      <c r="A34">
        <v>792.13605577688998</v>
      </c>
      <c r="B34">
        <v>481752.5</v>
      </c>
    </row>
    <row r="35" spans="1:10" x14ac:dyDescent="0.2">
      <c r="A35">
        <v>782.61434262948001</v>
      </c>
      <c r="B35">
        <v>481984.8</v>
      </c>
    </row>
    <row r="36" spans="1:10" x14ac:dyDescent="0.2">
      <c r="A36">
        <v>783.08884462151002</v>
      </c>
      <c r="B36">
        <v>483575.8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836.33117245304493</v>
      </c>
      <c r="C48">
        <f>_xlfn.STDEV.S(A2:A36)</f>
        <v>61.061183308285202</v>
      </c>
      <c r="D48">
        <f>((_xlfn.NORM.S.INV(1-$D$47/2) * $C$48) / ($D$47 * $B$48))^2</f>
        <v>1.4422095835634685</v>
      </c>
      <c r="E48">
        <f>((_xlfn.NORM.S.INV(1-$E$47/2) * $C$48) / ($E$47 * $B$48))^2</f>
        <v>8.1908700711248841</v>
      </c>
      <c r="F48">
        <f>((_xlfn.NORM.S.INV(1-$F$47/2) * $C$48) / ($F$47 * $B$48))^2</f>
        <v>353.67798101564063</v>
      </c>
      <c r="H48">
        <f>_xlfn.NORM.S.INV(1-0.01/2)</f>
        <v>2.5758293035488999</v>
      </c>
      <c r="I48">
        <f>(_xlfn.NORM.S.INV(1-$F$47/2) * $C$48)</f>
        <v>157.28318527485197</v>
      </c>
      <c r="J48">
        <f>($F$47 * $B$48)</f>
        <v>8.3633117245304494</v>
      </c>
    </row>
    <row r="49" spans="1:7" x14ac:dyDescent="0.2">
      <c r="A49" s="12" t="s">
        <v>9</v>
      </c>
      <c r="B49">
        <f>AVERAGE(B2:B36)</f>
        <v>480757.13904761925</v>
      </c>
      <c r="C49">
        <f>_xlfn.STDEV.S(B2:B36)</f>
        <v>3546.4694653316274</v>
      </c>
      <c r="D49">
        <f>((_xlfn.NORM.S.INV(1-$D$47/2) * $C$49) / ($D$47 * $B$49))^2</f>
        <v>1.4722971772293137E-2</v>
      </c>
      <c r="E49">
        <f>((_xlfn.NORM.S.INV(1-$E$47/2) * $C$49) / ($E$47 * $B$49))^2</f>
        <v>8.361749236870554E-2</v>
      </c>
      <c r="F49">
        <f>((_xlfn.NORM.S.INV(1-$F$47/2) * $C$49) / ($F$47 * $B$49))^2</f>
        <v>3.6105646435303607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5833.4231629233736</v>
      </c>
      <c r="E55" s="20">
        <f>D55/SQRT(35)</f>
        <v>986.0284811553139</v>
      </c>
      <c r="F55" s="23">
        <f>$B$49-E55</f>
        <v>479771.1105664639</v>
      </c>
      <c r="G55" s="23">
        <f>SUM($B$49,E55)</f>
        <v>481743.16752877459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6950.9524243210099</v>
      </c>
      <c r="E56" s="20">
        <f>D56/SQRT(35)</f>
        <v>1174.9254031660796</v>
      </c>
      <c r="F56" s="23">
        <f>$B$49-E56</f>
        <v>479582.21364445315</v>
      </c>
      <c r="G56" s="23">
        <f>SUM($B$49,E56)</f>
        <v>481932.06445078534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100.43670883058157</v>
      </c>
      <c r="E63" s="20">
        <f>D63/SQRT(35)</f>
        <v>16.976902359819036</v>
      </c>
      <c r="F63" s="23">
        <f>$B$48-E63</f>
        <v>819.35427009322586</v>
      </c>
      <c r="G63" s="23">
        <f>SUM($B$48,E63)</f>
        <v>853.30807481286399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119.67772013763728</v>
      </c>
      <c r="E64" s="20">
        <f>D64/SQRT(35)</f>
        <v>20.229226874106562</v>
      </c>
      <c r="F64" s="23">
        <f>$B$48-E64</f>
        <v>816.1019455789384</v>
      </c>
      <c r="G64" s="23">
        <f>SUM($B$48,E64)</f>
        <v>856.56039932715146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D80D-AA91-47D0-A5DE-1622DBA87AD5}">
  <dimension ref="A1:J67"/>
  <sheetViews>
    <sheetView topLeftCell="A35" zoomScaleNormal="100" workbookViewId="0">
      <selection activeCell="A56" sqref="A56:G67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109.53047808765</v>
      </c>
      <c r="B2">
        <v>513883.26666666998</v>
      </c>
    </row>
    <row r="3" spans="1:2" x14ac:dyDescent="0.2">
      <c r="A3">
        <v>100.03944223108</v>
      </c>
      <c r="B3">
        <v>517868.86666667002</v>
      </c>
    </row>
    <row r="4" spans="1:2" x14ac:dyDescent="0.2">
      <c r="A4">
        <v>101.14780876494</v>
      </c>
      <c r="B4">
        <v>516811.2</v>
      </c>
    </row>
    <row r="5" spans="1:2" x14ac:dyDescent="0.2">
      <c r="A5">
        <v>102.23207171315001</v>
      </c>
      <c r="B5">
        <v>518142.73333333002</v>
      </c>
    </row>
    <row r="6" spans="1:2" x14ac:dyDescent="0.2">
      <c r="A6">
        <v>106.89462151394</v>
      </c>
      <c r="B6">
        <v>518612.13333332998</v>
      </c>
    </row>
    <row r="7" spans="1:2" x14ac:dyDescent="0.2">
      <c r="A7">
        <v>104.97111553785</v>
      </c>
      <c r="B7">
        <v>516666.7</v>
      </c>
    </row>
    <row r="8" spans="1:2" x14ac:dyDescent="0.2">
      <c r="A8">
        <v>99.647609561753001</v>
      </c>
      <c r="B8">
        <v>517677.1</v>
      </c>
    </row>
    <row r="9" spans="1:2" x14ac:dyDescent="0.2">
      <c r="A9">
        <v>103.40856573705</v>
      </c>
      <c r="B9">
        <v>516846.83333333</v>
      </c>
    </row>
    <row r="10" spans="1:2" x14ac:dyDescent="0.2">
      <c r="A10">
        <v>105.7406374502</v>
      </c>
      <c r="B10">
        <v>514547.5</v>
      </c>
    </row>
    <row r="11" spans="1:2" x14ac:dyDescent="0.2">
      <c r="A11">
        <v>112.12689243027999</v>
      </c>
      <c r="B11">
        <v>516588.03333333001</v>
      </c>
    </row>
    <row r="12" spans="1:2" x14ac:dyDescent="0.2">
      <c r="A12">
        <v>108.09342629482001</v>
      </c>
      <c r="B12">
        <v>514711.9</v>
      </c>
    </row>
    <row r="13" spans="1:2" x14ac:dyDescent="0.2">
      <c r="A13">
        <v>105.24780876494</v>
      </c>
      <c r="B13">
        <v>516215.96666666999</v>
      </c>
    </row>
    <row r="14" spans="1:2" x14ac:dyDescent="0.2">
      <c r="A14">
        <v>106.05119521912</v>
      </c>
      <c r="B14">
        <v>515818</v>
      </c>
    </row>
    <row r="15" spans="1:2" x14ac:dyDescent="0.2">
      <c r="A15">
        <v>112.35278884461999</v>
      </c>
      <c r="B15">
        <v>518182.43333332997</v>
      </c>
    </row>
    <row r="16" spans="1:2" x14ac:dyDescent="0.2">
      <c r="A16">
        <v>105.04820717131</v>
      </c>
      <c r="B16">
        <v>518108.6</v>
      </c>
    </row>
    <row r="17" spans="1:2" x14ac:dyDescent="0.2">
      <c r="A17">
        <v>101.15577689243</v>
      </c>
      <c r="B17">
        <v>518587.13333332998</v>
      </c>
    </row>
    <row r="18" spans="1:2" x14ac:dyDescent="0.2">
      <c r="A18">
        <v>100.16035856574</v>
      </c>
      <c r="B18">
        <v>516896.5</v>
      </c>
    </row>
    <row r="19" spans="1:2" x14ac:dyDescent="0.2">
      <c r="A19">
        <v>105.29302788845</v>
      </c>
      <c r="B19">
        <v>516565.76666666998</v>
      </c>
    </row>
    <row r="20" spans="1:2" x14ac:dyDescent="0.2">
      <c r="A20">
        <v>104.3328685259</v>
      </c>
      <c r="B20">
        <v>516633.86666667002</v>
      </c>
    </row>
    <row r="21" spans="1:2" x14ac:dyDescent="0.2">
      <c r="A21">
        <v>104.09800796813001</v>
      </c>
      <c r="B21">
        <v>516113.76666666998</v>
      </c>
    </row>
    <row r="22" spans="1:2" x14ac:dyDescent="0.2">
      <c r="A22">
        <v>104.42231075697001</v>
      </c>
      <c r="B22">
        <v>516584.33333333</v>
      </c>
    </row>
    <row r="23" spans="1:2" x14ac:dyDescent="0.2">
      <c r="A23">
        <v>100.86374501992</v>
      </c>
      <c r="B23">
        <v>517144.63333332998</v>
      </c>
    </row>
    <row r="24" spans="1:2" x14ac:dyDescent="0.2">
      <c r="A24">
        <v>103.47390438247</v>
      </c>
      <c r="B24">
        <v>515291.06666667003</v>
      </c>
    </row>
    <row r="25" spans="1:2" x14ac:dyDescent="0.2">
      <c r="A25">
        <v>103.56235059761001</v>
      </c>
      <c r="B25">
        <v>517413.23333333002</v>
      </c>
    </row>
    <row r="26" spans="1:2" x14ac:dyDescent="0.2">
      <c r="A26">
        <v>106.86613545817001</v>
      </c>
      <c r="B26">
        <v>513750.93333332997</v>
      </c>
    </row>
    <row r="27" spans="1:2" x14ac:dyDescent="0.2">
      <c r="A27">
        <v>108.53964143426001</v>
      </c>
      <c r="B27">
        <v>516871</v>
      </c>
    </row>
    <row r="28" spans="1:2" x14ac:dyDescent="0.2">
      <c r="A28">
        <v>103.99322709163</v>
      </c>
      <c r="B28">
        <v>516805.76666666998</v>
      </c>
    </row>
    <row r="29" spans="1:2" x14ac:dyDescent="0.2">
      <c r="A29">
        <v>98.777290836652995</v>
      </c>
      <c r="B29">
        <v>516132.2</v>
      </c>
    </row>
    <row r="30" spans="1:2" x14ac:dyDescent="0.2">
      <c r="A30">
        <v>104.03984063745</v>
      </c>
      <c r="B30">
        <v>516099.06666667003</v>
      </c>
    </row>
    <row r="31" spans="1:2" x14ac:dyDescent="0.2">
      <c r="A31">
        <v>108.48505976096</v>
      </c>
      <c r="B31">
        <v>514658.1</v>
      </c>
    </row>
    <row r="32" spans="1:2" x14ac:dyDescent="0.2">
      <c r="A32">
        <v>105.12928286853</v>
      </c>
      <c r="B32">
        <v>517337.23333333002</v>
      </c>
    </row>
    <row r="33" spans="1:10" x14ac:dyDescent="0.2">
      <c r="A33">
        <v>106.89521912351</v>
      </c>
      <c r="B33">
        <v>516564.53333333001</v>
      </c>
    </row>
    <row r="34" spans="1:10" x14ac:dyDescent="0.2">
      <c r="A34">
        <v>106.69243027888</v>
      </c>
      <c r="B34">
        <v>515919.7</v>
      </c>
    </row>
    <row r="35" spans="1:10" x14ac:dyDescent="0.2">
      <c r="A35">
        <v>107.20199203187001</v>
      </c>
      <c r="B35">
        <v>514641.86666667002</v>
      </c>
    </row>
    <row r="36" spans="1:10" x14ac:dyDescent="0.2">
      <c r="A36">
        <v>102.25119521912001</v>
      </c>
      <c r="B36">
        <v>516861.86666667002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104.82189527603873</v>
      </c>
      <c r="C48">
        <f>_xlfn.STDEV.S(A2:A36)</f>
        <v>3.2832550265009286</v>
      </c>
      <c r="D48">
        <f>((_xlfn.NORM.S.INV(1-$D$47/2) * $C$48) / ($D$47 * $B$48))^2</f>
        <v>0.2654359445991647</v>
      </c>
      <c r="E48">
        <f>((_xlfn.NORM.S.INV(1-$E$47/2) * $C$48) / ($E$47 * $B$48))^2</f>
        <v>1.5075141360842175</v>
      </c>
      <c r="F48">
        <f>((_xlfn.NORM.S.INV(1-$F$47/2) * $C$48) / ($F$47 * $B$48))^2</f>
        <v>65.093763101235552</v>
      </c>
      <c r="H48">
        <f>_xlfn.NORM.S.INV(1-0.01/2)</f>
        <v>2.5758293035488999</v>
      </c>
      <c r="I48">
        <f>(_xlfn.NORM.S.INV(1-$F$47/2) * $C$48)</f>
        <v>8.4571045082853118</v>
      </c>
      <c r="J48">
        <f>($F$47 * $B$48)</f>
        <v>1.0482189527603873</v>
      </c>
    </row>
    <row r="49" spans="1:7" x14ac:dyDescent="0.2">
      <c r="A49" s="12" t="s">
        <v>9</v>
      </c>
      <c r="B49">
        <f>AVERAGE(B2:B36)</f>
        <v>516501.53809523804</v>
      </c>
      <c r="C49">
        <f>_xlfn.STDEV.S(B2:B36)</f>
        <v>1260.2287478868243</v>
      </c>
      <c r="D49">
        <f>((_xlfn.NORM.S.INV(1-$D$47/2) * $C$49) / ($D$47 * $B$49))^2</f>
        <v>1.610682870499593E-3</v>
      </c>
      <c r="E49">
        <f>((_xlfn.NORM.S.INV(1-$E$47/2) * $C$49) / ($E$47 * $B$49))^2</f>
        <v>9.1476955002969193E-3</v>
      </c>
      <c r="F49">
        <f>((_xlfn.NORM.S.INV(1-$F$47/2) * $C$49) / ($F$47 * $B$49))^2</f>
        <v>0.39499326047135713</v>
      </c>
    </row>
    <row r="56" spans="1:7" x14ac:dyDescent="0.2">
      <c r="B56" s="29" t="s">
        <v>19</v>
      </c>
      <c r="C56" s="29"/>
      <c r="D56" s="29"/>
      <c r="E56" s="29"/>
      <c r="F56" s="29"/>
      <c r="G56" s="29"/>
    </row>
    <row r="57" spans="1:7" x14ac:dyDescent="0.2">
      <c r="A57" s="19" t="s">
        <v>17</v>
      </c>
      <c r="B57" s="19" t="s">
        <v>16</v>
      </c>
      <c r="C57" s="19" t="s">
        <v>10</v>
      </c>
      <c r="D57" s="19" t="s">
        <v>11</v>
      </c>
      <c r="E57" s="19" t="s">
        <v>18</v>
      </c>
      <c r="F57" s="19" t="s">
        <v>20</v>
      </c>
      <c r="G57" s="19" t="s">
        <v>21</v>
      </c>
    </row>
    <row r="58" spans="1:7" x14ac:dyDescent="0.2">
      <c r="A58" s="20">
        <v>0.9</v>
      </c>
      <c r="B58" s="20">
        <f>1-A58</f>
        <v>9.9999999999999978E-2</v>
      </c>
      <c r="C58" s="20">
        <f>_xlfn.NORM.S.INV(1-B58/2)</f>
        <v>1.6448536269514715</v>
      </c>
      <c r="D58" s="20">
        <f>C58*$C$49</f>
        <v>2072.8918267501545</v>
      </c>
      <c r="E58" s="20">
        <f>D58/SQRT(35)</f>
        <v>350.38266939397204</v>
      </c>
      <c r="F58" s="23">
        <f>$B$49-E58</f>
        <v>516151.15542584407</v>
      </c>
      <c r="G58" s="23">
        <f>SUM($B$49,E58)</f>
        <v>516851.920764632</v>
      </c>
    </row>
    <row r="59" spans="1:7" x14ac:dyDescent="0.2">
      <c r="A59" s="20">
        <v>0.95</v>
      </c>
      <c r="B59" s="20">
        <f>1-A59</f>
        <v>5.0000000000000044E-2</v>
      </c>
      <c r="C59" s="20">
        <f>_xlfn.NORM.S.INV(1-B59/2)</f>
        <v>1.9599639845400536</v>
      </c>
      <c r="D59" s="20">
        <f>C59*$C$49</f>
        <v>2470.0029581401827</v>
      </c>
      <c r="E59" s="20">
        <f>D59/SQRT(35)</f>
        <v>417.50670185283951</v>
      </c>
      <c r="F59" s="23">
        <f>$B$49-E59</f>
        <v>516084.0313933852</v>
      </c>
      <c r="G59" s="23">
        <f>SUM($B$49,E59)</f>
        <v>516919.04479709087</v>
      </c>
    </row>
    <row r="64" spans="1:7" x14ac:dyDescent="0.2">
      <c r="B64" s="29" t="s">
        <v>22</v>
      </c>
      <c r="C64" s="29"/>
      <c r="D64" s="29"/>
      <c r="E64" s="29"/>
      <c r="F64" s="29"/>
      <c r="G64" s="29"/>
    </row>
    <row r="65" spans="1:7" x14ac:dyDescent="0.2">
      <c r="A65" s="19" t="s">
        <v>17</v>
      </c>
      <c r="B65" s="19" t="s">
        <v>16</v>
      </c>
      <c r="C65" s="19" t="s">
        <v>10</v>
      </c>
      <c r="D65" s="19" t="s">
        <v>11</v>
      </c>
      <c r="E65" s="19" t="s">
        <v>18</v>
      </c>
      <c r="F65" s="19" t="s">
        <v>20</v>
      </c>
      <c r="G65" s="19" t="s">
        <v>21</v>
      </c>
    </row>
    <row r="66" spans="1:7" x14ac:dyDescent="0.2">
      <c r="A66" s="20">
        <v>0.9</v>
      </c>
      <c r="B66" s="20">
        <f>1-A66</f>
        <v>9.9999999999999978E-2</v>
      </c>
      <c r="C66" s="20">
        <f>_xlfn.NORM.S.INV(1-B66/2)</f>
        <v>1.6448536269514715</v>
      </c>
      <c r="D66" s="20">
        <f>C66*$C$48</f>
        <v>5.4004739385467024</v>
      </c>
      <c r="E66" s="20">
        <f>D66/SQRT(35)</f>
        <v>0.91284670534264301</v>
      </c>
      <c r="F66" s="23">
        <f>$B$48-E66</f>
        <v>103.90904857069609</v>
      </c>
      <c r="G66" s="23">
        <f>SUM($B$48,E66)</f>
        <v>105.73474198138138</v>
      </c>
    </row>
    <row r="67" spans="1:7" x14ac:dyDescent="0.2">
      <c r="A67" s="20">
        <v>0.95</v>
      </c>
      <c r="B67" s="20">
        <f>1-A67</f>
        <v>5.0000000000000044E-2</v>
      </c>
      <c r="C67" s="20">
        <f>_xlfn.NORM.S.INV(1-B67/2)</f>
        <v>1.9599639845400536</v>
      </c>
      <c r="D67" s="20">
        <f>C67*$C$48</f>
        <v>6.4350616040019197</v>
      </c>
      <c r="E67" s="20">
        <f>D67/SQRT(35)</f>
        <v>1.0877239388124669</v>
      </c>
      <c r="F67" s="23">
        <f>$B$48-E67</f>
        <v>103.73417133722626</v>
      </c>
      <c r="G67" s="23">
        <f>SUM($B$48,E67)</f>
        <v>105.9096192148512</v>
      </c>
    </row>
  </sheetData>
  <mergeCells count="3">
    <mergeCell ref="H46:J46"/>
    <mergeCell ref="B56:G56"/>
    <mergeCell ref="B64:G64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ABC5C-48C1-4430-8A4F-58800E8AF753}">
  <dimension ref="A1:J67"/>
  <sheetViews>
    <sheetView topLeftCell="A34" zoomScaleNormal="100" workbookViewId="0">
      <selection activeCell="A56" sqref="A56:G67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8" width="12.1640625" bestFit="1" customWidth="1"/>
    <col min="9" max="9" width="10.83203125" bestFit="1" customWidth="1"/>
    <col min="10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97.955378486056006</v>
      </c>
      <c r="B2">
        <v>515830.73333333002</v>
      </c>
    </row>
    <row r="3" spans="1:2" x14ac:dyDescent="0.2">
      <c r="A3">
        <v>102.33266932271</v>
      </c>
      <c r="B3">
        <v>516148.03333333001</v>
      </c>
    </row>
    <row r="4" spans="1:2" x14ac:dyDescent="0.2">
      <c r="A4">
        <v>96.343227091632997</v>
      </c>
      <c r="B4">
        <v>517714.46666666999</v>
      </c>
    </row>
    <row r="5" spans="1:2" x14ac:dyDescent="0.2">
      <c r="A5">
        <v>108.82749003984</v>
      </c>
      <c r="B5">
        <v>517740.03333333001</v>
      </c>
    </row>
    <row r="6" spans="1:2" x14ac:dyDescent="0.2">
      <c r="A6">
        <v>96.700996015935999</v>
      </c>
      <c r="B6">
        <v>516510.06666667003</v>
      </c>
    </row>
    <row r="7" spans="1:2" x14ac:dyDescent="0.2">
      <c r="A7">
        <v>109.99721115538</v>
      </c>
      <c r="B7">
        <v>516044.66666667</v>
      </c>
    </row>
    <row r="8" spans="1:2" x14ac:dyDescent="0.2">
      <c r="A8">
        <v>97.763545816733</v>
      </c>
      <c r="B8">
        <v>518265.43333332997</v>
      </c>
    </row>
    <row r="9" spans="1:2" x14ac:dyDescent="0.2">
      <c r="A9">
        <v>102.77111553784999</v>
      </c>
      <c r="B9">
        <v>517401.9</v>
      </c>
    </row>
    <row r="10" spans="1:2" x14ac:dyDescent="0.2">
      <c r="A10">
        <v>101.2625498008</v>
      </c>
      <c r="B10">
        <v>517129.8</v>
      </c>
    </row>
    <row r="11" spans="1:2" x14ac:dyDescent="0.2">
      <c r="A11">
        <v>100.34382470120001</v>
      </c>
      <c r="B11">
        <v>517760.7</v>
      </c>
    </row>
    <row r="12" spans="1:2" x14ac:dyDescent="0.2">
      <c r="A12">
        <v>97.367729083664997</v>
      </c>
      <c r="B12">
        <v>515697.3</v>
      </c>
    </row>
    <row r="13" spans="1:2" x14ac:dyDescent="0.2">
      <c r="A13">
        <v>99.678087649402002</v>
      </c>
      <c r="B13">
        <v>518021.03333333001</v>
      </c>
    </row>
    <row r="14" spans="1:2" x14ac:dyDescent="0.2">
      <c r="A14">
        <v>105.99601593625</v>
      </c>
      <c r="B14">
        <v>517202.86666667002</v>
      </c>
    </row>
    <row r="15" spans="1:2" x14ac:dyDescent="0.2">
      <c r="A15">
        <v>98.585856573705001</v>
      </c>
      <c r="B15">
        <v>515457.9</v>
      </c>
    </row>
    <row r="16" spans="1:2" x14ac:dyDescent="0.2">
      <c r="A16">
        <v>96.753585657371005</v>
      </c>
      <c r="B16">
        <v>519727.16666667</v>
      </c>
    </row>
    <row r="17" spans="1:2" x14ac:dyDescent="0.2">
      <c r="A17">
        <v>95.408964143426005</v>
      </c>
      <c r="B17">
        <v>516133.1</v>
      </c>
    </row>
    <row r="18" spans="1:2" x14ac:dyDescent="0.2">
      <c r="A18">
        <v>99.561752988047999</v>
      </c>
      <c r="B18">
        <v>515795.26666666998</v>
      </c>
    </row>
    <row r="19" spans="1:2" x14ac:dyDescent="0.2">
      <c r="A19">
        <v>99.380478087648996</v>
      </c>
      <c r="B19">
        <v>516764.6</v>
      </c>
    </row>
    <row r="20" spans="1:2" x14ac:dyDescent="0.2">
      <c r="A20">
        <v>101.94920318725001</v>
      </c>
      <c r="B20">
        <v>516906.4</v>
      </c>
    </row>
    <row r="21" spans="1:2" x14ac:dyDescent="0.2">
      <c r="A21">
        <v>106.43466135458</v>
      </c>
      <c r="B21">
        <v>517252.23333333002</v>
      </c>
    </row>
    <row r="22" spans="1:2" x14ac:dyDescent="0.2">
      <c r="A22">
        <v>102.32888446215</v>
      </c>
      <c r="B22">
        <v>516841.73333333002</v>
      </c>
    </row>
    <row r="23" spans="1:2" x14ac:dyDescent="0.2">
      <c r="A23">
        <v>102.42370517928001</v>
      </c>
      <c r="B23">
        <v>517151.93333332997</v>
      </c>
    </row>
    <row r="24" spans="1:2" x14ac:dyDescent="0.2">
      <c r="A24">
        <v>101.0187250996</v>
      </c>
      <c r="B24">
        <v>518276.7</v>
      </c>
    </row>
    <row r="25" spans="1:2" x14ac:dyDescent="0.2">
      <c r="A25">
        <v>102.27788844622</v>
      </c>
      <c r="B25">
        <v>516287.93333332997</v>
      </c>
    </row>
    <row r="26" spans="1:2" x14ac:dyDescent="0.2">
      <c r="A26">
        <v>98.740438247011994</v>
      </c>
      <c r="B26">
        <v>514512.43333332997</v>
      </c>
    </row>
    <row r="27" spans="1:2" x14ac:dyDescent="0.2">
      <c r="A27">
        <v>101.28824701195001</v>
      </c>
      <c r="B27">
        <v>516877</v>
      </c>
    </row>
    <row r="28" spans="1:2" x14ac:dyDescent="0.2">
      <c r="A28">
        <v>97.727689243027996</v>
      </c>
      <c r="B28">
        <v>518248.6</v>
      </c>
    </row>
    <row r="29" spans="1:2" x14ac:dyDescent="0.2">
      <c r="A29">
        <v>104.09900398406</v>
      </c>
      <c r="B29">
        <v>517862.40000000002</v>
      </c>
    </row>
    <row r="30" spans="1:2" x14ac:dyDescent="0.2">
      <c r="A30">
        <v>97.624103585656997</v>
      </c>
      <c r="B30">
        <v>518072.26666666998</v>
      </c>
    </row>
    <row r="31" spans="1:2" x14ac:dyDescent="0.2">
      <c r="A31">
        <v>105.1422310757</v>
      </c>
      <c r="B31">
        <v>518060.5</v>
      </c>
    </row>
    <row r="32" spans="1:2" x14ac:dyDescent="0.2">
      <c r="A32">
        <v>98.344820717131</v>
      </c>
      <c r="B32">
        <v>516470.43333332997</v>
      </c>
    </row>
    <row r="33" spans="1:10" x14ac:dyDescent="0.2">
      <c r="A33">
        <v>101.41235059761</v>
      </c>
      <c r="B33">
        <v>515009.16666667</v>
      </c>
    </row>
    <row r="34" spans="1:10" x14ac:dyDescent="0.2">
      <c r="A34">
        <v>99.048406374501994</v>
      </c>
      <c r="B34">
        <v>517697</v>
      </c>
    </row>
    <row r="35" spans="1:10" x14ac:dyDescent="0.2">
      <c r="A35">
        <v>101.71035856573999</v>
      </c>
      <c r="B35">
        <v>516425.8</v>
      </c>
    </row>
    <row r="36" spans="1:10" x14ac:dyDescent="0.2">
      <c r="A36">
        <v>101.87250996016</v>
      </c>
      <c r="B36">
        <v>515709.7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100.8706772908367</v>
      </c>
      <c r="C48">
        <f>_xlfn.STDEV.S(A2:A36)</f>
        <v>3.4678465642077563</v>
      </c>
      <c r="D48">
        <f>((_xlfn.NORM.S.INV(1-$D$47/2) * $C$48) / ($D$47 * $B$48))^2</f>
        <v>0.31977491143456427</v>
      </c>
      <c r="E48">
        <f>((_xlfn.NORM.S.INV(1-$E$47/2) * $C$48) / ($E$47 * $B$48))^2</f>
        <v>1.8161262977425743</v>
      </c>
      <c r="F48">
        <f>((_xlfn.NORM.S.INV(1-$F$47/2) * $C$48) / ($F$47 * $B$48))^2</f>
        <v>78.419493494271876</v>
      </c>
      <c r="H48">
        <f>_xlfn.NORM.S.INV(1-0.01/2)</f>
        <v>2.5758293035488999</v>
      </c>
      <c r="I48">
        <f>(_xlfn.NORM.S.INV(1-$F$47/2) * $C$48)</f>
        <v>8.9325808002977105</v>
      </c>
      <c r="J48">
        <f>($F$47 * $B$48)</f>
        <v>1.008706772908367</v>
      </c>
    </row>
    <row r="49" spans="1:7" x14ac:dyDescent="0.2">
      <c r="A49" s="12" t="s">
        <v>9</v>
      </c>
      <c r="B49">
        <f>AVERAGE(B2:B36)</f>
        <v>516943.06571428542</v>
      </c>
      <c r="C49">
        <f>_xlfn.STDEV.S(B2:B36)</f>
        <v>1100.3380478331831</v>
      </c>
      <c r="D49">
        <f>((_xlfn.NORM.S.INV(1-$D$47/2) * $C$49) / ($D$47 * $B$49))^2</f>
        <v>1.225804880742963E-3</v>
      </c>
      <c r="E49">
        <f>((_xlfn.NORM.S.INV(1-$E$47/2) * $C$49) / ($E$47 * $B$49))^2</f>
        <v>6.9618234583548556E-3</v>
      </c>
      <c r="F49">
        <f>((_xlfn.NORM.S.INV(1-$F$47/2) * $C$49) / ($F$47 * $B$49))^2</f>
        <v>0.3006083167670271</v>
      </c>
    </row>
    <row r="56" spans="1:7" x14ac:dyDescent="0.2">
      <c r="B56" s="29" t="s">
        <v>19</v>
      </c>
      <c r="C56" s="29"/>
      <c r="D56" s="29"/>
      <c r="E56" s="29"/>
      <c r="F56" s="29"/>
      <c r="G56" s="29"/>
    </row>
    <row r="57" spans="1:7" x14ac:dyDescent="0.2">
      <c r="A57" s="19" t="s">
        <v>17</v>
      </c>
      <c r="B57" s="19" t="s">
        <v>16</v>
      </c>
      <c r="C57" s="19" t="s">
        <v>10</v>
      </c>
      <c r="D57" s="19" t="s">
        <v>11</v>
      </c>
      <c r="E57" s="19" t="s">
        <v>18</v>
      </c>
      <c r="F57" s="19" t="s">
        <v>20</v>
      </c>
      <c r="G57" s="19" t="s">
        <v>21</v>
      </c>
    </row>
    <row r="58" spans="1:7" x14ac:dyDescent="0.2">
      <c r="A58" s="20">
        <v>0.9</v>
      </c>
      <c r="B58" s="20">
        <f>1-A58</f>
        <v>9.9999999999999978E-2</v>
      </c>
      <c r="C58" s="20">
        <f>_xlfn.NORM.S.INV(1-B58/2)</f>
        <v>1.6448536269514715</v>
      </c>
      <c r="D58" s="20">
        <f>C58*$C$49</f>
        <v>1809.895028851113</v>
      </c>
      <c r="E58" s="20">
        <f>D58/SQRT(35)</f>
        <v>305.92809684910191</v>
      </c>
      <c r="F58" s="23">
        <f>$B$49-E58</f>
        <v>516637.1376174363</v>
      </c>
      <c r="G58" s="23">
        <f>SUM($B$49,E58)</f>
        <v>517248.99381113454</v>
      </c>
    </row>
    <row r="59" spans="1:7" x14ac:dyDescent="0.2">
      <c r="A59" s="20">
        <v>0.95</v>
      </c>
      <c r="B59" s="20">
        <f>1-A59</f>
        <v>5.0000000000000044E-2</v>
      </c>
      <c r="C59" s="20">
        <f>_xlfn.NORM.S.INV(1-B59/2)</f>
        <v>1.9599639845400536</v>
      </c>
      <c r="D59" s="20">
        <f>C59*$C$49</f>
        <v>2156.6229445721497</v>
      </c>
      <c r="E59" s="20">
        <f>D59/SQRT(35)</f>
        <v>364.53581149005879</v>
      </c>
      <c r="F59" s="23">
        <f>$B$49-E59</f>
        <v>516578.52990279539</v>
      </c>
      <c r="G59" s="23">
        <f>SUM($B$49,E59)</f>
        <v>517307.60152577545</v>
      </c>
    </row>
    <row r="64" spans="1:7" x14ac:dyDescent="0.2">
      <c r="B64" s="29" t="s">
        <v>22</v>
      </c>
      <c r="C64" s="29"/>
      <c r="D64" s="29"/>
      <c r="E64" s="29"/>
      <c r="F64" s="29"/>
      <c r="G64" s="29"/>
    </row>
    <row r="65" spans="1:7" x14ac:dyDescent="0.2">
      <c r="A65" s="19" t="s">
        <v>17</v>
      </c>
      <c r="B65" s="19" t="s">
        <v>16</v>
      </c>
      <c r="C65" s="19" t="s">
        <v>10</v>
      </c>
      <c r="D65" s="19" t="s">
        <v>11</v>
      </c>
      <c r="E65" s="19" t="s">
        <v>18</v>
      </c>
      <c r="F65" s="19" t="s">
        <v>20</v>
      </c>
      <c r="G65" s="19" t="s">
        <v>21</v>
      </c>
    </row>
    <row r="66" spans="1:7" x14ac:dyDescent="0.2">
      <c r="A66" s="20">
        <v>0.9</v>
      </c>
      <c r="B66" s="20">
        <f>1-A66</f>
        <v>9.9999999999999978E-2</v>
      </c>
      <c r="C66" s="20">
        <f>_xlfn.NORM.S.INV(1-B66/2)</f>
        <v>1.6448536269514715</v>
      </c>
      <c r="D66" s="20">
        <f>C66*$C$48</f>
        <v>5.704099998848327</v>
      </c>
      <c r="E66" s="20">
        <f>D66/SQRT(35)</f>
        <v>0.96416887668471796</v>
      </c>
      <c r="F66" s="23">
        <f>$B$48-E66</f>
        <v>99.906508414151972</v>
      </c>
      <c r="G66" s="23">
        <f>SUM($B$48,E66)</f>
        <v>101.83484616752142</v>
      </c>
    </row>
    <row r="67" spans="1:7" x14ac:dyDescent="0.2">
      <c r="A67" s="20">
        <v>0.95</v>
      </c>
      <c r="B67" s="20">
        <f>1-A67</f>
        <v>5.0000000000000044E-2</v>
      </c>
      <c r="C67" s="20">
        <f>_xlfn.NORM.S.INV(1-B67/2)</f>
        <v>1.9599639845400536</v>
      </c>
      <c r="D67" s="20">
        <f>C67*$C$48</f>
        <v>6.7968543697581687</v>
      </c>
      <c r="E67" s="20">
        <f>D67/SQRT(35)</f>
        <v>1.1488780778742453</v>
      </c>
      <c r="F67" s="23">
        <f>$B$48-E67</f>
        <v>99.721799212962452</v>
      </c>
      <c r="G67" s="23">
        <f>SUM($B$48,E67)</f>
        <v>102.01955536871094</v>
      </c>
    </row>
  </sheetData>
  <mergeCells count="3">
    <mergeCell ref="H46:J46"/>
    <mergeCell ref="B56:G56"/>
    <mergeCell ref="B64:G64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0B6D-18D8-4BCF-8E1E-FA4D4A7F3C9B}">
  <dimension ref="A1:J64"/>
  <sheetViews>
    <sheetView topLeftCell="A25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8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96.242629482072005</v>
      </c>
      <c r="B2">
        <v>515773.03333333001</v>
      </c>
    </row>
    <row r="3" spans="1:2" x14ac:dyDescent="0.2">
      <c r="A3">
        <v>98.866533864542006</v>
      </c>
      <c r="B3">
        <v>516899.5</v>
      </c>
    </row>
    <row r="4" spans="1:2" x14ac:dyDescent="0.2">
      <c r="A4">
        <v>94.941832669323006</v>
      </c>
      <c r="B4">
        <v>518191.73333333002</v>
      </c>
    </row>
    <row r="5" spans="1:2" x14ac:dyDescent="0.2">
      <c r="A5">
        <v>92.651195219124006</v>
      </c>
      <c r="B5">
        <v>517971.6</v>
      </c>
    </row>
    <row r="6" spans="1:2" x14ac:dyDescent="0.2">
      <c r="A6">
        <v>88.222509960159002</v>
      </c>
      <c r="B6">
        <v>516963.93333332997</v>
      </c>
    </row>
    <row r="7" spans="1:2" x14ac:dyDescent="0.2">
      <c r="A7">
        <v>92.983067729083999</v>
      </c>
      <c r="B7">
        <v>516900.73333333002</v>
      </c>
    </row>
    <row r="8" spans="1:2" x14ac:dyDescent="0.2">
      <c r="A8">
        <v>94.310159362549996</v>
      </c>
      <c r="B8">
        <v>516827.73333333002</v>
      </c>
    </row>
    <row r="9" spans="1:2" x14ac:dyDescent="0.2">
      <c r="A9">
        <v>91.164342629481993</v>
      </c>
      <c r="B9">
        <v>518395.26666666998</v>
      </c>
    </row>
    <row r="10" spans="1:2" x14ac:dyDescent="0.2">
      <c r="A10">
        <v>89.074900398406001</v>
      </c>
      <c r="B10">
        <v>514711.43333332997</v>
      </c>
    </row>
    <row r="11" spans="1:2" x14ac:dyDescent="0.2">
      <c r="A11">
        <v>95.082868525896004</v>
      </c>
      <c r="B11">
        <v>517011.13333332998</v>
      </c>
    </row>
    <row r="12" spans="1:2" x14ac:dyDescent="0.2">
      <c r="A12">
        <v>84.739043824701</v>
      </c>
      <c r="B12">
        <v>515595.96666666999</v>
      </c>
    </row>
    <row r="13" spans="1:2" x14ac:dyDescent="0.2">
      <c r="A13">
        <v>98.703784860558002</v>
      </c>
      <c r="B13">
        <v>516854.36666667002</v>
      </c>
    </row>
    <row r="14" spans="1:2" x14ac:dyDescent="0.2">
      <c r="A14">
        <v>96.580478087648999</v>
      </c>
      <c r="B14">
        <v>518570.86666667002</v>
      </c>
    </row>
    <row r="15" spans="1:2" x14ac:dyDescent="0.2">
      <c r="A15">
        <v>97.360159362549993</v>
      </c>
      <c r="B15">
        <v>517442.83333333</v>
      </c>
    </row>
    <row r="16" spans="1:2" x14ac:dyDescent="0.2">
      <c r="A16">
        <v>92.274302788845006</v>
      </c>
      <c r="B16">
        <v>519535.26666666998</v>
      </c>
    </row>
    <row r="17" spans="1:2" x14ac:dyDescent="0.2">
      <c r="A17">
        <v>106.46434262948</v>
      </c>
      <c r="B17">
        <v>514597.43333332997</v>
      </c>
    </row>
    <row r="18" spans="1:2" x14ac:dyDescent="0.2">
      <c r="A18">
        <v>87.524302788845006</v>
      </c>
      <c r="B18">
        <v>518007.36666667002</v>
      </c>
    </row>
    <row r="19" spans="1:2" x14ac:dyDescent="0.2">
      <c r="A19">
        <v>85.411354581672995</v>
      </c>
      <c r="B19">
        <v>516577.23333333002</v>
      </c>
    </row>
    <row r="20" spans="1:2" x14ac:dyDescent="0.2">
      <c r="A20">
        <v>97.334661354581996</v>
      </c>
      <c r="B20">
        <v>518630.16666667</v>
      </c>
    </row>
    <row r="21" spans="1:2" x14ac:dyDescent="0.2">
      <c r="A21">
        <v>96.717729083665006</v>
      </c>
      <c r="B21">
        <v>516993.63333332998</v>
      </c>
    </row>
    <row r="22" spans="1:2" x14ac:dyDescent="0.2">
      <c r="A22">
        <v>88.802191235059993</v>
      </c>
      <c r="B22">
        <v>516176.2</v>
      </c>
    </row>
    <row r="23" spans="1:2" x14ac:dyDescent="0.2">
      <c r="A23">
        <v>92.996414342628995</v>
      </c>
      <c r="B23">
        <v>516118.06666667003</v>
      </c>
    </row>
    <row r="24" spans="1:2" x14ac:dyDescent="0.2">
      <c r="A24">
        <v>93.058167330676994</v>
      </c>
      <c r="B24">
        <v>516337.46666666999</v>
      </c>
    </row>
    <row r="25" spans="1:2" x14ac:dyDescent="0.2">
      <c r="A25">
        <v>88.478884462151001</v>
      </c>
      <c r="B25">
        <v>515366.66666667</v>
      </c>
    </row>
    <row r="26" spans="1:2" x14ac:dyDescent="0.2">
      <c r="A26">
        <v>101.7296812749</v>
      </c>
      <c r="B26">
        <v>516168.6</v>
      </c>
    </row>
    <row r="27" spans="1:2" x14ac:dyDescent="0.2">
      <c r="A27">
        <v>97.200796812749005</v>
      </c>
      <c r="B27">
        <v>517225.83333333</v>
      </c>
    </row>
    <row r="28" spans="1:2" x14ac:dyDescent="0.2">
      <c r="A28">
        <v>91.944422310757005</v>
      </c>
      <c r="B28">
        <v>517850.83333333</v>
      </c>
    </row>
    <row r="29" spans="1:2" x14ac:dyDescent="0.2">
      <c r="A29">
        <v>87.966733067728995</v>
      </c>
      <c r="B29">
        <v>518410.1</v>
      </c>
    </row>
    <row r="30" spans="1:2" x14ac:dyDescent="0.2">
      <c r="A30">
        <v>94.341633466134994</v>
      </c>
      <c r="B30">
        <v>518393.53333333001</v>
      </c>
    </row>
    <row r="31" spans="1:2" x14ac:dyDescent="0.2">
      <c r="A31">
        <v>96.468326693226999</v>
      </c>
      <c r="B31">
        <v>513141.2</v>
      </c>
    </row>
    <row r="32" spans="1:2" x14ac:dyDescent="0.2">
      <c r="A32">
        <v>92.342828685258993</v>
      </c>
      <c r="B32">
        <v>516629.43333332997</v>
      </c>
    </row>
    <row r="33" spans="1:10" x14ac:dyDescent="0.2">
      <c r="A33">
        <v>96.886653386454</v>
      </c>
      <c r="B33">
        <v>517997.43333332997</v>
      </c>
    </row>
    <row r="34" spans="1:10" x14ac:dyDescent="0.2">
      <c r="A34">
        <v>96.224103585657005</v>
      </c>
      <c r="B34">
        <v>516722.7</v>
      </c>
    </row>
    <row r="35" spans="1:10" x14ac:dyDescent="0.2">
      <c r="A35">
        <v>96.917729083664995</v>
      </c>
      <c r="B35">
        <v>518876.23333333002</v>
      </c>
    </row>
    <row r="36" spans="1:10" x14ac:dyDescent="0.2">
      <c r="A36">
        <v>100.73984063745</v>
      </c>
      <c r="B36">
        <v>518304.36666667002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94.078531587933867</v>
      </c>
      <c r="C48">
        <f>_xlfn.STDEV.S(A2:A36)</f>
        <v>4.7395496119248701</v>
      </c>
      <c r="D48">
        <f>((_xlfn.NORM.S.INV(1-$D$47/2) * $C$48) / ($D$47 * $B$48))^2</f>
        <v>0.68666925171498916</v>
      </c>
      <c r="E48">
        <f>((_xlfn.NORM.S.INV(1-$E$47/2) * $C$48) / ($E$47 * $B$48))^2</f>
        <v>3.8998621883630729</v>
      </c>
      <c r="F48">
        <f>((_xlfn.NORM.S.INV(1-$F$47/2) * $C$48) / ($F$47 * $B$48))^2</f>
        <v>168.39424542722185</v>
      </c>
      <c r="H48">
        <f>_xlfn.NORM.S.INV(1-0.01/2)</f>
        <v>2.5758293035488999</v>
      </c>
      <c r="I48">
        <f>(_xlfn.NORM.S.INV(1-$F$47/2) * $C$48)</f>
        <v>12.208270776019898</v>
      </c>
      <c r="J48">
        <f>($F$47 * $B$48)</f>
        <v>0.94078531587933867</v>
      </c>
    </row>
    <row r="49" spans="1:7" x14ac:dyDescent="0.2">
      <c r="A49" s="12" t="s">
        <v>9</v>
      </c>
      <c r="B49">
        <f>AVERAGE(B2:B36)</f>
        <v>517033.42571428511</v>
      </c>
      <c r="C49">
        <f>_xlfn.STDEV.S(B2:B36)</f>
        <v>1361.8086934618514</v>
      </c>
      <c r="D49">
        <f>((_xlfn.NORM.S.INV(1-$D$47/2) * $C$49) / ($D$47 * $B$49))^2</f>
        <v>1.8769360538600502E-3</v>
      </c>
      <c r="E49">
        <f>((_xlfn.NORM.S.INV(1-$E$47/2) * $C$49) / ($E$47 * $B$49))^2</f>
        <v>1.0659851053680759E-2</v>
      </c>
      <c r="F49">
        <f>((_xlfn.NORM.S.INV(1-$F$47/2) * $C$49) / ($F$47 * $B$49))^2</f>
        <v>0.46028743782472065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2239.9759686547709</v>
      </c>
      <c r="E55" s="20">
        <f>D55/SQRT(35)</f>
        <v>378.62504407964195</v>
      </c>
      <c r="F55" s="23">
        <f>$B$49-E55</f>
        <v>516654.8006702055</v>
      </c>
      <c r="G55" s="23">
        <f>SUM($B$49,E55)</f>
        <v>517412.05075836473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2669.0959930187746</v>
      </c>
      <c r="E56" s="20">
        <f>D56/SQRT(35)</f>
        <v>451.15956695573044</v>
      </c>
      <c r="F56" s="23">
        <f>$B$49-E56</f>
        <v>516582.26614732936</v>
      </c>
      <c r="G56" s="23">
        <f>SUM($B$49,E56)</f>
        <v>517484.58528124087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7.7958653692910618</v>
      </c>
      <c r="E63" s="20">
        <f>D63/SQRT(35)</f>
        <v>1.3177417572294077</v>
      </c>
      <c r="F63" s="23">
        <f>$B$48-E63</f>
        <v>92.760789830704454</v>
      </c>
      <c r="G63" s="23">
        <f>SUM($B$48,E63)</f>
        <v>95.39627334516328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9.2893465423135329</v>
      </c>
      <c r="E64" s="20">
        <f>D64/SQRT(35)</f>
        <v>1.5701861507767831</v>
      </c>
      <c r="F64" s="23">
        <f>$B$48-E64</f>
        <v>92.508345437157089</v>
      </c>
      <c r="G64" s="23">
        <f>SUM($B$48,E64)</f>
        <v>95.648717738710644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C6E7-1BB4-40B2-ADCB-36654A682C1E}">
  <dimension ref="A1:J64"/>
  <sheetViews>
    <sheetView topLeftCell="A34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9325.505810093</v>
      </c>
      <c r="B2">
        <v>39755.699999999997</v>
      </c>
    </row>
    <row r="3" spans="1:2" x14ac:dyDescent="0.2">
      <c r="A3">
        <v>9315.75</v>
      </c>
      <c r="B3">
        <v>39755</v>
      </c>
    </row>
    <row r="4" spans="1:2" x14ac:dyDescent="0.2">
      <c r="A4">
        <v>9259.1304780875998</v>
      </c>
      <c r="B4">
        <v>39755.833333333001</v>
      </c>
    </row>
    <row r="5" spans="1:2" x14ac:dyDescent="0.2">
      <c r="A5">
        <v>9310.0554448871007</v>
      </c>
      <c r="B5">
        <v>39762.266666666997</v>
      </c>
    </row>
    <row r="6" spans="1:2" x14ac:dyDescent="0.2">
      <c r="A6">
        <v>9298.4883798141</v>
      </c>
      <c r="B6">
        <v>39761.366666667003</v>
      </c>
    </row>
    <row r="7" spans="1:2" x14ac:dyDescent="0.2">
      <c r="A7">
        <v>9298.6416002656006</v>
      </c>
      <c r="B7">
        <v>39757.266666666997</v>
      </c>
    </row>
    <row r="8" spans="1:2" x14ac:dyDescent="0.2">
      <c r="A8">
        <v>9334.5758632138004</v>
      </c>
      <c r="B8">
        <v>39761.300000000003</v>
      </c>
    </row>
    <row r="9" spans="1:2" x14ac:dyDescent="0.2">
      <c r="A9">
        <v>9315.4324369189999</v>
      </c>
      <c r="B9">
        <v>39760.466666667002</v>
      </c>
    </row>
    <row r="10" spans="1:2" x14ac:dyDescent="0.2">
      <c r="A10">
        <v>9300.0959495351999</v>
      </c>
      <c r="B10">
        <v>39765.233333333003</v>
      </c>
    </row>
    <row r="11" spans="1:2" x14ac:dyDescent="0.2">
      <c r="A11">
        <v>9257.6462483399991</v>
      </c>
      <c r="B11">
        <v>39756.199999999997</v>
      </c>
    </row>
    <row r="12" spans="1:2" x14ac:dyDescent="0.2">
      <c r="A12">
        <v>9286.3142430279004</v>
      </c>
      <c r="B12">
        <v>39756.633333332997</v>
      </c>
    </row>
    <row r="13" spans="1:2" x14ac:dyDescent="0.2">
      <c r="A13">
        <v>9318.1341301460998</v>
      </c>
      <c r="B13">
        <v>39757.733333333003</v>
      </c>
    </row>
    <row r="14" spans="1:2" x14ac:dyDescent="0.2">
      <c r="A14">
        <v>9321.1480743691991</v>
      </c>
      <c r="B14">
        <v>39762.333333333001</v>
      </c>
    </row>
    <row r="15" spans="1:2" x14ac:dyDescent="0.2">
      <c r="A15">
        <v>9269.5859893758006</v>
      </c>
      <c r="B15">
        <v>39758.733333333003</v>
      </c>
    </row>
    <row r="16" spans="1:2" x14ac:dyDescent="0.2">
      <c r="A16">
        <v>9284.7397078353006</v>
      </c>
      <c r="B16">
        <v>39752.433333333</v>
      </c>
    </row>
    <row r="17" spans="1:2" x14ac:dyDescent="0.2">
      <c r="A17">
        <v>9280.4018924303</v>
      </c>
      <c r="B17">
        <v>39761.933333333</v>
      </c>
    </row>
    <row r="18" spans="1:2" x14ac:dyDescent="0.2">
      <c r="A18">
        <v>9289.4105245684004</v>
      </c>
      <c r="B18">
        <v>39765.1</v>
      </c>
    </row>
    <row r="19" spans="1:2" x14ac:dyDescent="0.2">
      <c r="A19">
        <v>9293.0488047808994</v>
      </c>
      <c r="B19">
        <v>39761.633333332997</v>
      </c>
    </row>
    <row r="20" spans="1:2" x14ac:dyDescent="0.2">
      <c r="A20">
        <v>9307.9369189906993</v>
      </c>
      <c r="B20">
        <v>39758.133333332997</v>
      </c>
    </row>
    <row r="21" spans="1:2" x14ac:dyDescent="0.2">
      <c r="A21">
        <v>9343.5692231075991</v>
      </c>
      <c r="B21">
        <v>39760.566666667</v>
      </c>
    </row>
    <row r="22" spans="1:2" x14ac:dyDescent="0.2">
      <c r="A22">
        <v>9323.1460823373</v>
      </c>
      <c r="B22">
        <v>39755.9</v>
      </c>
    </row>
    <row r="23" spans="1:2" x14ac:dyDescent="0.2">
      <c r="A23">
        <v>9304.1993691899006</v>
      </c>
      <c r="B23">
        <v>39758.166666666999</v>
      </c>
    </row>
    <row r="24" spans="1:2" x14ac:dyDescent="0.2">
      <c r="A24">
        <v>9309.6850929614993</v>
      </c>
      <c r="B24">
        <v>39756.833333333001</v>
      </c>
    </row>
    <row r="25" spans="1:2" x14ac:dyDescent="0.2">
      <c r="A25">
        <v>9303.2325697210999</v>
      </c>
      <c r="B25">
        <v>39762.6</v>
      </c>
    </row>
    <row r="26" spans="1:2" x14ac:dyDescent="0.2">
      <c r="A26">
        <v>9289.6557104914009</v>
      </c>
      <c r="B26">
        <v>39752.366666667003</v>
      </c>
    </row>
    <row r="27" spans="1:2" x14ac:dyDescent="0.2">
      <c r="A27">
        <v>9300.8195551128993</v>
      </c>
      <c r="B27">
        <v>39758.933333333</v>
      </c>
    </row>
    <row r="28" spans="1:2" x14ac:dyDescent="0.2">
      <c r="A28">
        <v>9335.0346945550991</v>
      </c>
      <c r="B28">
        <v>39761.699999999997</v>
      </c>
    </row>
    <row r="29" spans="1:2" x14ac:dyDescent="0.2">
      <c r="A29">
        <v>9305.3627158034997</v>
      </c>
      <c r="B29">
        <v>39754.1</v>
      </c>
    </row>
    <row r="30" spans="1:2" x14ac:dyDescent="0.2">
      <c r="A30">
        <v>9296.6454183266997</v>
      </c>
      <c r="B30">
        <v>39752.9</v>
      </c>
    </row>
    <row r="31" spans="1:2" x14ac:dyDescent="0.2">
      <c r="A31">
        <v>9308.1912350597995</v>
      </c>
      <c r="B31">
        <v>39758.566666667</v>
      </c>
    </row>
    <row r="32" spans="1:2" x14ac:dyDescent="0.2">
      <c r="A32">
        <v>9298.5629150065997</v>
      </c>
      <c r="B32">
        <v>39761.733333333003</v>
      </c>
    </row>
    <row r="33" spans="1:10" x14ac:dyDescent="0.2">
      <c r="A33">
        <v>9304.1915670650997</v>
      </c>
      <c r="B33">
        <v>39763.433333333</v>
      </c>
    </row>
    <row r="34" spans="1:10" x14ac:dyDescent="0.2">
      <c r="A34">
        <v>9309.9355909695005</v>
      </c>
      <c r="B34">
        <v>39760.933333333</v>
      </c>
    </row>
    <row r="35" spans="1:10" x14ac:dyDescent="0.2">
      <c r="A35">
        <v>9319.7495019920007</v>
      </c>
      <c r="B35">
        <v>39761.266666666997</v>
      </c>
    </row>
    <row r="36" spans="1:10" x14ac:dyDescent="0.2">
      <c r="A36">
        <v>9294.5810092961001</v>
      </c>
      <c r="B36">
        <v>39754.766666666997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9303.2172785050316</v>
      </c>
      <c r="C48">
        <f>_xlfn.STDEV.S(A2:A36)</f>
        <v>19.405939933902321</v>
      </c>
      <c r="D48">
        <f>((_xlfn.NORM.S.INV(1-$D$47/2) * $C$48) / ($D$47 * $B$48))^2</f>
        <v>1.1772197808965904E-3</v>
      </c>
      <c r="E48">
        <f>((_xlfn.NORM.S.INV(1-$E$47/2) * $C$48) / ($E$47 * $B$48))^2</f>
        <v>6.68588974887902E-3</v>
      </c>
      <c r="F48">
        <f>((_xlfn.NORM.S.INV(1-$F$47/2) * $C$48) / ($F$47 * $B$48))^2</f>
        <v>0.28869362682393934</v>
      </c>
      <c r="H48">
        <f>_xlfn.NORM.S.INV(1-0.01/2)</f>
        <v>2.5758293035488999</v>
      </c>
      <c r="I48">
        <f>(_xlfn.NORM.S.INV(1-$F$47/2) * $C$48)</f>
        <v>49.9863887446554</v>
      </c>
      <c r="J48">
        <f>($F$47 * $B$48)</f>
        <v>93.032172785050321</v>
      </c>
    </row>
    <row r="49" spans="1:7" x14ac:dyDescent="0.2">
      <c r="A49" s="12" t="s">
        <v>9</v>
      </c>
      <c r="B49">
        <f>AVERAGE(B2:B36)</f>
        <v>39758.859047619015</v>
      </c>
      <c r="C49">
        <f>_xlfn.STDEV.S(B2:B36)</f>
        <v>3.5217075265666673</v>
      </c>
      <c r="D49">
        <f>((_xlfn.NORM.S.INV(1-$D$47/2) * $C$49) / ($D$47 * $B$49))^2</f>
        <v>2.1227226723214491E-6</v>
      </c>
      <c r="E49">
        <f>((_xlfn.NORM.S.INV(1-$E$47/2) * $C$49) / ($E$47 * $B$49))^2</f>
        <v>1.2055769011779576E-5</v>
      </c>
      <c r="F49">
        <f>((_xlfn.NORM.S.INV(1-$F$47/2) * $C$49) / ($F$47 * $B$49))^2</f>
        <v>5.2056252957893075E-4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5.7926933981354782</v>
      </c>
      <c r="E55" s="20">
        <f>D55/SQRT(35)</f>
        <v>0.97914389435439764</v>
      </c>
      <c r="F55" s="23">
        <f>$B$49-E55</f>
        <v>39757.879903724657</v>
      </c>
      <c r="G55" s="23">
        <f>SUM($B$49,E55)</f>
        <v>39759.838191513372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6.9024199161543018</v>
      </c>
      <c r="E56" s="20">
        <f>D56/SQRT(35)</f>
        <v>1.1667219120121317</v>
      </c>
      <c r="F56" s="23">
        <f>$B$49-E56</f>
        <v>39757.692325707001</v>
      </c>
      <c r="G56" s="23">
        <f>SUM($B$49,E56)</f>
        <v>39760.025769531028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31.919930684681631</v>
      </c>
      <c r="E63" s="20">
        <f>D63/SQRT(35)</f>
        <v>5.3954530457596022</v>
      </c>
      <c r="F63" s="23">
        <f>$B$48-E63</f>
        <v>9297.8218254592721</v>
      </c>
      <c r="G63" s="23">
        <f>SUM($B$48,E63)</f>
        <v>9308.6127315507911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38.034943356596138</v>
      </c>
      <c r="E64" s="20">
        <f>D64/SQRT(35)</f>
        <v>6.4290788412370699</v>
      </c>
      <c r="F64" s="23">
        <f>$B$48-E64</f>
        <v>9296.7881996637952</v>
      </c>
      <c r="G64" s="23">
        <f>SUM($B$48,E64)</f>
        <v>9309.6463573462679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FFE2-55A4-43D0-AA8D-47D53FEC89A2}">
  <dimension ref="A1:J64"/>
  <sheetViews>
    <sheetView topLeftCell="A34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6.1640625" bestFit="1" customWidth="1"/>
    <col min="2" max="2" width="20" bestFit="1" customWidth="1"/>
    <col min="3" max="4" width="12.5" bestFit="1" customWidth="1"/>
    <col min="5" max="5" width="18.5" bestFit="1" customWidth="1"/>
    <col min="6" max="6" width="13.1640625" bestFit="1" customWidth="1"/>
    <col min="7" max="9" width="12.5" bestFit="1" customWidth="1"/>
    <col min="10" max="10" width="11.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1660.7763944223</v>
      </c>
      <c r="B2">
        <v>522612.2</v>
      </c>
    </row>
    <row r="3" spans="1:2" x14ac:dyDescent="0.2">
      <c r="A3">
        <v>1717.3693559097001</v>
      </c>
      <c r="B3">
        <v>525818.4</v>
      </c>
    </row>
    <row r="4" spans="1:2" x14ac:dyDescent="0.2">
      <c r="A4">
        <v>1783.3972443559001</v>
      </c>
      <c r="B4">
        <v>522593.26666666998</v>
      </c>
    </row>
    <row r="5" spans="1:2" x14ac:dyDescent="0.2">
      <c r="A5">
        <v>1759.4052124834</v>
      </c>
      <c r="B5">
        <v>518081.9</v>
      </c>
    </row>
    <row r="6" spans="1:2" x14ac:dyDescent="0.2">
      <c r="A6">
        <v>1645.0919654714</v>
      </c>
      <c r="B6">
        <v>528031.86666666996</v>
      </c>
    </row>
    <row r="7" spans="1:2" x14ac:dyDescent="0.2">
      <c r="A7">
        <v>1688.4837317397</v>
      </c>
      <c r="B7">
        <v>519659.7</v>
      </c>
    </row>
    <row r="8" spans="1:2" x14ac:dyDescent="0.2">
      <c r="A8">
        <v>1758.3220451527</v>
      </c>
      <c r="B8">
        <v>519263.66666667</v>
      </c>
    </row>
    <row r="9" spans="1:2" x14ac:dyDescent="0.2">
      <c r="A9">
        <v>1714.2485059761</v>
      </c>
      <c r="B9">
        <v>518789.33333333</v>
      </c>
    </row>
    <row r="10" spans="1:2" x14ac:dyDescent="0.2">
      <c r="A10">
        <v>1731.2006972111999</v>
      </c>
      <c r="B10">
        <v>522710.66666667</v>
      </c>
    </row>
    <row r="11" spans="1:2" x14ac:dyDescent="0.2">
      <c r="A11">
        <v>1823.9392430278999</v>
      </c>
      <c r="B11">
        <v>518051.56666667003</v>
      </c>
    </row>
    <row r="12" spans="1:2" x14ac:dyDescent="0.2">
      <c r="A12">
        <v>1725.5498007967999</v>
      </c>
      <c r="B12">
        <v>519080.7</v>
      </c>
    </row>
    <row r="13" spans="1:2" x14ac:dyDescent="0.2">
      <c r="A13">
        <v>1735.1774568393</v>
      </c>
      <c r="B13">
        <v>518118.43333332997</v>
      </c>
    </row>
    <row r="14" spans="1:2" x14ac:dyDescent="0.2">
      <c r="A14">
        <v>1710.7533200531</v>
      </c>
      <c r="B14">
        <v>523245.63333332998</v>
      </c>
    </row>
    <row r="15" spans="1:2" x14ac:dyDescent="0.2">
      <c r="A15">
        <v>1825.0320385125999</v>
      </c>
      <c r="B15">
        <v>518474.66666667</v>
      </c>
    </row>
    <row r="16" spans="1:2" x14ac:dyDescent="0.2">
      <c r="A16">
        <v>1671.7851925631001</v>
      </c>
      <c r="B16">
        <v>521684.86666667002</v>
      </c>
    </row>
    <row r="17" spans="1:2" x14ac:dyDescent="0.2">
      <c r="A17">
        <v>1766.5097941567001</v>
      </c>
      <c r="B17">
        <v>517468.26666666998</v>
      </c>
    </row>
    <row r="18" spans="1:2" x14ac:dyDescent="0.2">
      <c r="A18">
        <v>1815.7138114209999</v>
      </c>
      <c r="B18">
        <v>513376.33333333</v>
      </c>
    </row>
    <row r="19" spans="1:2" x14ac:dyDescent="0.2">
      <c r="A19">
        <v>1770.7827025232</v>
      </c>
      <c r="B19">
        <v>519651.53333333001</v>
      </c>
    </row>
    <row r="20" spans="1:2" x14ac:dyDescent="0.2">
      <c r="A20">
        <v>1629.1970451527</v>
      </c>
      <c r="B20">
        <v>528790.66666667</v>
      </c>
    </row>
    <row r="21" spans="1:2" x14ac:dyDescent="0.2">
      <c r="A21">
        <v>1610.4095285525</v>
      </c>
      <c r="B21">
        <v>527530.23333333002</v>
      </c>
    </row>
    <row r="22" spans="1:2" x14ac:dyDescent="0.2">
      <c r="A22">
        <v>1549.9809096946001</v>
      </c>
      <c r="B22">
        <v>530579.30000000005</v>
      </c>
    </row>
    <row r="23" spans="1:2" x14ac:dyDescent="0.2">
      <c r="A23">
        <v>1829.8774900398</v>
      </c>
      <c r="B23">
        <v>514638.36666667002</v>
      </c>
    </row>
    <row r="24" spans="1:2" x14ac:dyDescent="0.2">
      <c r="A24">
        <v>1826.4908698539</v>
      </c>
      <c r="B24">
        <v>515050.56666667003</v>
      </c>
    </row>
    <row r="25" spans="1:2" x14ac:dyDescent="0.2">
      <c r="A25">
        <v>1695.1870849934</v>
      </c>
      <c r="B25">
        <v>523304.46666666999</v>
      </c>
    </row>
    <row r="26" spans="1:2" x14ac:dyDescent="0.2">
      <c r="A26">
        <v>1770.8212151394</v>
      </c>
      <c r="B26">
        <v>523780.9</v>
      </c>
    </row>
    <row r="27" spans="1:2" x14ac:dyDescent="0.2">
      <c r="A27">
        <v>1722.4656374501999</v>
      </c>
      <c r="B27">
        <v>523513.46666666999</v>
      </c>
    </row>
    <row r="28" spans="1:2" x14ac:dyDescent="0.2">
      <c r="A28">
        <v>1679.5277224435999</v>
      </c>
      <c r="B28">
        <v>524803.26666666998</v>
      </c>
    </row>
    <row r="29" spans="1:2" x14ac:dyDescent="0.2">
      <c r="A29">
        <v>1801.2896746347999</v>
      </c>
      <c r="B29">
        <v>512801.96666666999</v>
      </c>
    </row>
    <row r="30" spans="1:2" x14ac:dyDescent="0.2">
      <c r="A30">
        <v>1468.1382802124999</v>
      </c>
      <c r="B30">
        <v>533511.33333333</v>
      </c>
    </row>
    <row r="31" spans="1:2" x14ac:dyDescent="0.2">
      <c r="A31">
        <v>1703.3177290837</v>
      </c>
      <c r="B31">
        <v>526775.4</v>
      </c>
    </row>
    <row r="32" spans="1:2" x14ac:dyDescent="0.2">
      <c r="A32">
        <v>1692.2949867197999</v>
      </c>
      <c r="B32">
        <v>524390</v>
      </c>
    </row>
    <row r="33" spans="1:10" x14ac:dyDescent="0.2">
      <c r="A33">
        <v>1805.2267596281999</v>
      </c>
      <c r="B33">
        <v>515591.1</v>
      </c>
    </row>
    <row r="34" spans="1:10" x14ac:dyDescent="0.2">
      <c r="A34">
        <v>1725.0019920319</v>
      </c>
      <c r="B34">
        <v>523761.33333333</v>
      </c>
    </row>
    <row r="35" spans="1:10" x14ac:dyDescent="0.2">
      <c r="A35">
        <v>1621.1153718459</v>
      </c>
      <c r="B35">
        <v>527785.93333332997</v>
      </c>
    </row>
    <row r="36" spans="1:10" x14ac:dyDescent="0.2">
      <c r="A36">
        <v>1716.2959827356999</v>
      </c>
      <c r="B36">
        <v>520082.7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1718.5764797951051</v>
      </c>
      <c r="C48">
        <f>_xlfn.STDEV.S(A2:A36)</f>
        <v>80.66688850262949</v>
      </c>
      <c r="D48">
        <f>((_xlfn.NORM.S.INV(1-$D$47/2) * $C$48) / ($D$47 * $B$48))^2</f>
        <v>0.59608390726146954</v>
      </c>
      <c r="E48">
        <f>((_xlfn.NORM.S.INV(1-$E$47/2) * $C$48) / ($E$47 * $B$48))^2</f>
        <v>3.3853927275974764</v>
      </c>
      <c r="F48">
        <f>((_xlfn.NORM.S.INV(1-$F$47/2) * $C$48) / ($F$47 * $B$48))^2</f>
        <v>146.179692077239</v>
      </c>
      <c r="H48">
        <f>_xlfn.NORM.S.INV(1-0.01/2)</f>
        <v>2.5758293035488999</v>
      </c>
      <c r="I48">
        <f>(_xlfn.NORM.S.INV(1-$F$47/2) * $C$48)</f>
        <v>207.78413523118488</v>
      </c>
      <c r="J48">
        <f>($F$47 * $B$48)</f>
        <v>17.185764797951052</v>
      </c>
    </row>
    <row r="49" spans="1:7" x14ac:dyDescent="0.2">
      <c r="A49" s="12" t="s">
        <v>9</v>
      </c>
      <c r="B49">
        <f>AVERAGE(B2:B36)</f>
        <v>521811.5428571435</v>
      </c>
      <c r="C49">
        <f>_xlfn.STDEV.S(B2:B36)</f>
        <v>4964.6577080800207</v>
      </c>
      <c r="D49">
        <f>((_xlfn.NORM.S.INV(1-$D$47/2) * $C$49) / ($D$47 * $B$49))^2</f>
        <v>2.4490957927839636E-2</v>
      </c>
      <c r="E49">
        <f>((_xlfn.NORM.S.INV(1-$E$47/2) * $C$49) / ($E$47 * $B$49))^2</f>
        <v>0.13909369109076669</v>
      </c>
      <c r="F49">
        <f>((_xlfn.NORM.S.INV(1-$F$47/2) * $C$49) / ($F$47 * $B$49))^2</f>
        <v>6.0060012440460415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8166.135237708002</v>
      </c>
      <c r="E55" s="20">
        <f>D55/SQRT(35)</f>
        <v>1380.3287881674769</v>
      </c>
      <c r="F55" s="23">
        <f>$B$49-E55</f>
        <v>520431.214068976</v>
      </c>
      <c r="G55" s="23">
        <f>SUM($B$49,E55)</f>
        <v>523191.87164531101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9730.5503034060075</v>
      </c>
      <c r="E56" s="20">
        <f>D56/SQRT(35)</f>
        <v>1644.7631979546891</v>
      </c>
      <c r="F56" s="23">
        <f>$B$49-E56</f>
        <v>520166.77965918882</v>
      </c>
      <c r="G56" s="23">
        <f>SUM($B$49,E56)</f>
        <v>523456.30605509819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132.68522412844007</v>
      </c>
      <c r="E63" s="20">
        <f>D63/SQRT(35)</f>
        <v>22.427896342351591</v>
      </c>
      <c r="F63" s="23">
        <f>$B$48-E63</f>
        <v>1696.1485834527534</v>
      </c>
      <c r="G63" s="23">
        <f>SUM($B$48,E63)</f>
        <v>1741.0043761374568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158.10419621006193</v>
      </c>
      <c r="E64" s="20">
        <f>D64/SQRT(35)</f>
        <v>26.72448682347321</v>
      </c>
      <c r="F64" s="23">
        <f>$B$48-E64</f>
        <v>1691.8519929716319</v>
      </c>
      <c r="G64" s="23">
        <f>SUM($B$48,E64)</f>
        <v>1745.3009666185783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7238-138E-47AB-B244-6E024F1B0EF2}">
  <dimension ref="A1:J64"/>
  <sheetViews>
    <sheetView tabSelected="1" zoomScaleNormal="100" workbookViewId="0">
      <selection activeCell="C2" sqref="C2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154.07685922975</v>
      </c>
      <c r="B2">
        <v>619100</v>
      </c>
    </row>
    <row r="3" spans="1:2" x14ac:dyDescent="0.2">
      <c r="A3">
        <v>171.89940239044</v>
      </c>
      <c r="B3">
        <v>616352.46666667005</v>
      </c>
    </row>
    <row r="4" spans="1:2" x14ac:dyDescent="0.2">
      <c r="A4">
        <v>172.51726427623001</v>
      </c>
      <c r="B4">
        <v>618201.66666667</v>
      </c>
    </row>
    <row r="5" spans="1:2" x14ac:dyDescent="0.2">
      <c r="A5">
        <v>161.52091633466</v>
      </c>
      <c r="B5">
        <v>616751.66666667</v>
      </c>
    </row>
    <row r="6" spans="1:2" x14ac:dyDescent="0.2">
      <c r="A6">
        <v>163.41085657370999</v>
      </c>
      <c r="B6">
        <v>613828.13333333004</v>
      </c>
    </row>
    <row r="7" spans="1:2" x14ac:dyDescent="0.2">
      <c r="A7">
        <v>163.97758964143</v>
      </c>
      <c r="B7">
        <v>620166.19999999995</v>
      </c>
    </row>
    <row r="8" spans="1:2" x14ac:dyDescent="0.2">
      <c r="A8">
        <v>155.82918326692999</v>
      </c>
      <c r="B8">
        <v>617223.16666667</v>
      </c>
    </row>
    <row r="9" spans="1:2" x14ac:dyDescent="0.2">
      <c r="A9">
        <v>152.52855245684</v>
      </c>
      <c r="B9">
        <v>619653.80000000005</v>
      </c>
    </row>
    <row r="10" spans="1:2" x14ac:dyDescent="0.2">
      <c r="A10">
        <v>169.77705843293</v>
      </c>
      <c r="B10">
        <v>615888.9</v>
      </c>
    </row>
    <row r="11" spans="1:2" x14ac:dyDescent="0.2">
      <c r="A11">
        <v>171.12184594953999</v>
      </c>
      <c r="B11">
        <v>616121.13333333004</v>
      </c>
    </row>
    <row r="12" spans="1:2" x14ac:dyDescent="0.2">
      <c r="A12">
        <v>159.6208499336</v>
      </c>
      <c r="B12">
        <v>615729.19999999995</v>
      </c>
    </row>
    <row r="13" spans="1:2" x14ac:dyDescent="0.2">
      <c r="A13">
        <v>164.52407038512999</v>
      </c>
      <c r="B13">
        <v>618770.33333333</v>
      </c>
    </row>
    <row r="14" spans="1:2" x14ac:dyDescent="0.2">
      <c r="A14">
        <v>166.97991367861999</v>
      </c>
      <c r="B14">
        <v>617648.19999999995</v>
      </c>
    </row>
    <row r="15" spans="1:2" x14ac:dyDescent="0.2">
      <c r="A15">
        <v>165.16500664010999</v>
      </c>
      <c r="B15">
        <v>619424.6</v>
      </c>
    </row>
    <row r="16" spans="1:2" x14ac:dyDescent="0.2">
      <c r="A16">
        <v>175.31855909695</v>
      </c>
      <c r="B16">
        <v>619442.76666666998</v>
      </c>
    </row>
    <row r="17" spans="1:2" x14ac:dyDescent="0.2">
      <c r="A17">
        <v>178.18094289509</v>
      </c>
      <c r="B17">
        <v>618997.5</v>
      </c>
    </row>
    <row r="18" spans="1:2" x14ac:dyDescent="0.2">
      <c r="A18">
        <v>166.11437583001</v>
      </c>
      <c r="B18">
        <v>615621.5</v>
      </c>
    </row>
    <row r="19" spans="1:2" x14ac:dyDescent="0.2">
      <c r="A19">
        <v>169.87715803453</v>
      </c>
      <c r="B19">
        <v>618046.63333333004</v>
      </c>
    </row>
    <row r="20" spans="1:2" x14ac:dyDescent="0.2">
      <c r="A20">
        <v>180.98821381142</v>
      </c>
      <c r="B20">
        <v>617192.66666667</v>
      </c>
    </row>
    <row r="21" spans="1:2" x14ac:dyDescent="0.2">
      <c r="A21">
        <v>180.97310756972001</v>
      </c>
      <c r="B21">
        <v>620335.16666667</v>
      </c>
    </row>
    <row r="22" spans="1:2" x14ac:dyDescent="0.2">
      <c r="A22">
        <v>155.14342629481999</v>
      </c>
      <c r="B22">
        <v>614674.69999999995</v>
      </c>
    </row>
    <row r="23" spans="1:2" x14ac:dyDescent="0.2">
      <c r="A23">
        <v>165.86570385126001</v>
      </c>
      <c r="B23">
        <v>617488.26666666998</v>
      </c>
    </row>
    <row r="24" spans="1:2" x14ac:dyDescent="0.2">
      <c r="A24">
        <v>164.70899734395999</v>
      </c>
      <c r="B24">
        <v>616896.96666667005</v>
      </c>
    </row>
    <row r="25" spans="1:2" x14ac:dyDescent="0.2">
      <c r="A25">
        <v>161.83748339972999</v>
      </c>
      <c r="B25">
        <v>620838.43333332997</v>
      </c>
    </row>
    <row r="26" spans="1:2" x14ac:dyDescent="0.2">
      <c r="A26">
        <v>161.53967463479</v>
      </c>
      <c r="B26">
        <v>617841.76666666998</v>
      </c>
    </row>
    <row r="27" spans="1:2" x14ac:dyDescent="0.2">
      <c r="A27">
        <v>159.84711155378</v>
      </c>
      <c r="B27">
        <v>617121.66666667</v>
      </c>
    </row>
    <row r="28" spans="1:2" x14ac:dyDescent="0.2">
      <c r="A28">
        <v>177.51859229748001</v>
      </c>
      <c r="B28">
        <v>618399.43333332997</v>
      </c>
    </row>
    <row r="29" spans="1:2" x14ac:dyDescent="0.2">
      <c r="A29">
        <v>159.56108897742001</v>
      </c>
      <c r="B29">
        <v>617794.66666667</v>
      </c>
    </row>
    <row r="30" spans="1:2" x14ac:dyDescent="0.2">
      <c r="A30">
        <v>156.87001992032</v>
      </c>
      <c r="B30">
        <v>615268.26666666998</v>
      </c>
    </row>
    <row r="31" spans="1:2" x14ac:dyDescent="0.2">
      <c r="A31">
        <v>157.65089641434</v>
      </c>
      <c r="B31">
        <v>612286</v>
      </c>
    </row>
    <row r="32" spans="1:2" x14ac:dyDescent="0.2">
      <c r="A32">
        <v>181.25680610890001</v>
      </c>
      <c r="B32">
        <v>619249.36666666996</v>
      </c>
    </row>
    <row r="33" spans="1:10" x14ac:dyDescent="0.2">
      <c r="A33">
        <v>158.69770916335</v>
      </c>
      <c r="B33">
        <v>616682</v>
      </c>
    </row>
    <row r="34" spans="1:10" x14ac:dyDescent="0.2">
      <c r="A34">
        <v>175.26079017263999</v>
      </c>
      <c r="B34">
        <v>616502.86666666996</v>
      </c>
    </row>
    <row r="35" spans="1:10" x14ac:dyDescent="0.2">
      <c r="A35">
        <v>175.29399070385</v>
      </c>
      <c r="B35">
        <v>615826.19999999995</v>
      </c>
    </row>
    <row r="36" spans="1:10" x14ac:dyDescent="0.2">
      <c r="A36">
        <v>162.12549800797001</v>
      </c>
      <c r="B36">
        <v>615540.03333332995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166.21655757920712</v>
      </c>
      <c r="C48">
        <f>_xlfn.STDEV.S(A2:A36)</f>
        <v>8.2476041648377514</v>
      </c>
      <c r="D48">
        <f>((_xlfn.NORM.S.INV(1-$D$47/2) * $C$48) / ($D$47 * $B$48))^2</f>
        <v>0.66613394463278353</v>
      </c>
      <c r="E48">
        <f>((_xlfn.NORM.S.INV(1-$E$47/2) * $C$48) / ($E$47 * $B$48))^2</f>
        <v>3.7832341794398503</v>
      </c>
      <c r="F48">
        <f>((_xlfn.NORM.S.INV(1-$F$47/2) * $C$48) / ($F$47 * $B$48))^2</f>
        <v>163.35830194775525</v>
      </c>
      <c r="H48">
        <f>_xlfn.NORM.S.INV(1-0.01/2)</f>
        <v>2.5758293035488999</v>
      </c>
      <c r="I48">
        <f>(_xlfn.NORM.S.INV(1-$F$47/2) * $C$48)</f>
        <v>21.244420491861032</v>
      </c>
      <c r="J48">
        <f>($F$47 * $B$48)</f>
        <v>1.6621655757920712</v>
      </c>
    </row>
    <row r="49" spans="1:7" x14ac:dyDescent="0.2">
      <c r="A49" s="12" t="s">
        <v>9</v>
      </c>
      <c r="B49">
        <f>AVERAGE(B2:B36)</f>
        <v>617340.18095238181</v>
      </c>
      <c r="C49">
        <f>_xlfn.STDEV.S(B2:B36)</f>
        <v>1913.3554140164674</v>
      </c>
      <c r="D49">
        <f>((_xlfn.NORM.S.INV(1-$D$47/2) * $C$49) / ($D$47 * $B$49))^2</f>
        <v>2.5989428103030984E-3</v>
      </c>
      <c r="E49">
        <f>((_xlfn.NORM.S.INV(1-$E$47/2) * $C$49) / ($E$47 * $B$49))^2</f>
        <v>1.4760408697935977E-2</v>
      </c>
      <c r="F49">
        <f>((_xlfn.NORM.S.INV(1-$F$47/2) * $C$49) / ($F$47 * $B$49))^2</f>
        <v>0.6373476202064523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3147.1895923922207</v>
      </c>
      <c r="E55" s="20">
        <f>D55/SQRT(35)</f>
        <v>531.9721348895182</v>
      </c>
      <c r="F55" s="23">
        <f>$B$49-E55</f>
        <v>616808.20881749224</v>
      </c>
      <c r="G55" s="23">
        <f>SUM($B$49,E55)</f>
        <v>617872.15308727138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3750.1077010969993</v>
      </c>
      <c r="E56" s="20">
        <f>D56/SQRT(35)</f>
        <v>633.883895854461</v>
      </c>
      <c r="F56" s="23">
        <f>$B$49-E56</f>
        <v>616706.29705652734</v>
      </c>
      <c r="G56" s="23">
        <f>SUM($B$49,E56)</f>
        <v>617974.06484823627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13.566101624193438</v>
      </c>
      <c r="E63" s="20">
        <f>D63/SQRT(35)</f>
        <v>2.2930897015533045</v>
      </c>
      <c r="F63" s="23">
        <f>$B$48-E63</f>
        <v>163.92346787765382</v>
      </c>
      <c r="G63" s="23">
        <f>SUM($B$48,E63)</f>
        <v>168.50964728076042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16.165007121824541</v>
      </c>
      <c r="E64" s="20">
        <f>D64/SQRT(35)</f>
        <v>2.7323849093453565</v>
      </c>
      <c r="F64" s="23">
        <f>$B$48-E64</f>
        <v>163.48417266986175</v>
      </c>
      <c r="G64" s="23">
        <f>SUM($B$48,E64)</f>
        <v>168.94894248855249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8B4F-0332-43BF-92E2-11AAE68AF4C6}">
  <dimension ref="A1:J64"/>
  <sheetViews>
    <sheetView topLeftCell="A36" zoomScaleNormal="100" workbookViewId="0">
      <selection activeCell="A53" sqref="A53:G64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10" width="12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161.58466135457999</v>
      </c>
      <c r="B2">
        <v>619427.16666667</v>
      </c>
    </row>
    <row r="3" spans="1:2" x14ac:dyDescent="0.2">
      <c r="A3">
        <v>182.51411022575999</v>
      </c>
      <c r="B3">
        <v>618839.30000000005</v>
      </c>
    </row>
    <row r="4" spans="1:2" x14ac:dyDescent="0.2">
      <c r="A4">
        <v>154.5083001328</v>
      </c>
      <c r="B4">
        <v>620648.80000000005</v>
      </c>
    </row>
    <row r="5" spans="1:2" x14ac:dyDescent="0.2">
      <c r="A5">
        <v>155.99203187251001</v>
      </c>
      <c r="B5">
        <v>617764.46666667005</v>
      </c>
    </row>
    <row r="6" spans="1:2" x14ac:dyDescent="0.2">
      <c r="A6">
        <v>163.47875166003001</v>
      </c>
      <c r="B6">
        <v>618765.30000000005</v>
      </c>
    </row>
    <row r="7" spans="1:2" x14ac:dyDescent="0.2">
      <c r="A7">
        <v>156.94206507304</v>
      </c>
      <c r="B7">
        <v>615558.76666666998</v>
      </c>
    </row>
    <row r="8" spans="1:2" x14ac:dyDescent="0.2">
      <c r="A8">
        <v>155.78535856574001</v>
      </c>
      <c r="B8">
        <v>614647.4</v>
      </c>
    </row>
    <row r="9" spans="1:2" x14ac:dyDescent="0.2">
      <c r="A9">
        <v>159.12267596282001</v>
      </c>
      <c r="B9">
        <v>615852.13333333004</v>
      </c>
    </row>
    <row r="10" spans="1:2" x14ac:dyDescent="0.2">
      <c r="A10">
        <v>168.50597609562001</v>
      </c>
      <c r="B10">
        <v>619204.73333333002</v>
      </c>
    </row>
    <row r="11" spans="1:2" x14ac:dyDescent="0.2">
      <c r="A11">
        <v>158.74435590969</v>
      </c>
      <c r="B11">
        <v>615338.96666667005</v>
      </c>
    </row>
    <row r="12" spans="1:2" x14ac:dyDescent="0.2">
      <c r="A12">
        <v>177.65139442231001</v>
      </c>
      <c r="B12">
        <v>619247</v>
      </c>
    </row>
    <row r="13" spans="1:2" x14ac:dyDescent="0.2">
      <c r="A13">
        <v>157.92994687915001</v>
      </c>
      <c r="B13">
        <v>614793.43333332997</v>
      </c>
    </row>
    <row r="14" spans="1:2" x14ac:dyDescent="0.2">
      <c r="A14">
        <v>152.75581009295999</v>
      </c>
      <c r="B14">
        <v>617836.13333333004</v>
      </c>
    </row>
    <row r="15" spans="1:2" x14ac:dyDescent="0.2">
      <c r="A15">
        <v>169.87101593624999</v>
      </c>
      <c r="B15">
        <v>619194.80000000005</v>
      </c>
    </row>
    <row r="16" spans="1:2" x14ac:dyDescent="0.2">
      <c r="A16">
        <v>165.86005976096001</v>
      </c>
      <c r="B16">
        <v>615805</v>
      </c>
    </row>
    <row r="17" spans="1:2" x14ac:dyDescent="0.2">
      <c r="A17">
        <v>161.43110889773999</v>
      </c>
      <c r="B17">
        <v>615748.06666667003</v>
      </c>
    </row>
    <row r="18" spans="1:2" x14ac:dyDescent="0.2">
      <c r="A18">
        <v>174.42629482071999</v>
      </c>
      <c r="B18">
        <v>617858.93333332997</v>
      </c>
    </row>
    <row r="19" spans="1:2" x14ac:dyDescent="0.2">
      <c r="A19">
        <v>178.36487383798001</v>
      </c>
      <c r="B19">
        <v>616791.93333332997</v>
      </c>
    </row>
    <row r="20" spans="1:2" x14ac:dyDescent="0.2">
      <c r="A20">
        <v>154.42795484728001</v>
      </c>
      <c r="B20">
        <v>616621.33333333</v>
      </c>
    </row>
    <row r="21" spans="1:2" x14ac:dyDescent="0.2">
      <c r="A21">
        <v>163.3708499336</v>
      </c>
      <c r="B21">
        <v>615971</v>
      </c>
    </row>
    <row r="22" spans="1:2" x14ac:dyDescent="0.2">
      <c r="A22">
        <v>179.09744355909999</v>
      </c>
      <c r="B22">
        <v>613854.26666666998</v>
      </c>
    </row>
    <row r="23" spans="1:2" x14ac:dyDescent="0.2">
      <c r="A23">
        <v>170.91334661355</v>
      </c>
      <c r="B23">
        <v>619168.69999999995</v>
      </c>
    </row>
    <row r="24" spans="1:2" x14ac:dyDescent="0.2">
      <c r="A24">
        <v>162.94604913679001</v>
      </c>
      <c r="B24">
        <v>619912.56666667003</v>
      </c>
    </row>
    <row r="25" spans="1:2" x14ac:dyDescent="0.2">
      <c r="A25">
        <v>162.76643426295001</v>
      </c>
      <c r="B25">
        <v>616668.13333333004</v>
      </c>
    </row>
    <row r="26" spans="1:2" x14ac:dyDescent="0.2">
      <c r="A26">
        <v>152.18841301461001</v>
      </c>
      <c r="B26">
        <v>620759.6</v>
      </c>
    </row>
    <row r="27" spans="1:2" x14ac:dyDescent="0.2">
      <c r="A27">
        <v>159.12300796813</v>
      </c>
      <c r="B27">
        <v>615723.46666667005</v>
      </c>
    </row>
    <row r="28" spans="1:2" x14ac:dyDescent="0.2">
      <c r="A28">
        <v>166.35441567065001</v>
      </c>
      <c r="B28">
        <v>618300.4</v>
      </c>
    </row>
    <row r="29" spans="1:2" x14ac:dyDescent="0.2">
      <c r="A29">
        <v>147.50448207170999</v>
      </c>
      <c r="B29">
        <v>619142.96666667005</v>
      </c>
    </row>
    <row r="30" spans="1:2" x14ac:dyDescent="0.2">
      <c r="A30">
        <v>172.16035856574001</v>
      </c>
      <c r="B30">
        <v>615551.4</v>
      </c>
    </row>
    <row r="31" spans="1:2" x14ac:dyDescent="0.2">
      <c r="A31">
        <v>158.4037184595</v>
      </c>
      <c r="B31">
        <v>617164.73333333002</v>
      </c>
    </row>
    <row r="32" spans="1:2" x14ac:dyDescent="0.2">
      <c r="A32">
        <v>155.91650066400999</v>
      </c>
      <c r="B32">
        <v>617279.5</v>
      </c>
    </row>
    <row r="33" spans="1:10" x14ac:dyDescent="0.2">
      <c r="A33">
        <v>160.97792164674999</v>
      </c>
      <c r="B33">
        <v>616032.53333332995</v>
      </c>
    </row>
    <row r="34" spans="1:10" x14ac:dyDescent="0.2">
      <c r="A34">
        <v>167.22111553785001</v>
      </c>
      <c r="B34">
        <v>616923.1</v>
      </c>
    </row>
    <row r="35" spans="1:10" x14ac:dyDescent="0.2">
      <c r="A35">
        <v>162.75813413015001</v>
      </c>
      <c r="B35">
        <v>616035.73333333002</v>
      </c>
    </row>
    <row r="36" spans="1:10" x14ac:dyDescent="0.2">
      <c r="A36">
        <v>173.58300132802</v>
      </c>
      <c r="B36">
        <v>621194.16666667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163.57662682603004</v>
      </c>
      <c r="C48">
        <f>_xlfn.STDEV.S(A2:A36)</f>
        <v>8.544893384762247</v>
      </c>
      <c r="D48">
        <f>((_xlfn.NORM.S.INV(1-$D$47/2) * $C$48) / ($D$47 * $B$48))^2</f>
        <v>0.73828715746969453</v>
      </c>
      <c r="E48">
        <f>((_xlfn.NORM.S.INV(1-$E$47/2) * $C$48) / ($E$47 * $B$48))^2</f>
        <v>4.1930203840919482</v>
      </c>
      <c r="F48">
        <f>((_xlfn.NORM.S.INV(1-$F$47/2) * $C$48) / ($F$47 * $B$48))^2</f>
        <v>181.05268071959571</v>
      </c>
      <c r="H48">
        <f>_xlfn.NORM.S.INV(1-0.01/2)</f>
        <v>2.5758293035488999</v>
      </c>
      <c r="I48">
        <f>(_xlfn.NORM.S.INV(1-$F$47/2) * $C$48)</f>
        <v>22.010186776171739</v>
      </c>
      <c r="J48">
        <f>($F$47 * $B$48)</f>
        <v>1.6357662682603005</v>
      </c>
    </row>
    <row r="49" spans="1:7" x14ac:dyDescent="0.2">
      <c r="A49" s="12" t="s">
        <v>9</v>
      </c>
      <c r="B49">
        <f>AVERAGE(B2:B36)</f>
        <v>617417.88380952377</v>
      </c>
      <c r="C49">
        <f>_xlfn.STDEV.S(B2:B36)</f>
        <v>1910.0729842913411</v>
      </c>
      <c r="D49">
        <f>((_xlfn.NORM.S.INV(1-$D$47/2) * $C$49) / ($D$47 * $B$49))^2</f>
        <v>2.5893814230412808E-3</v>
      </c>
      <c r="E49">
        <f>((_xlfn.NORM.S.INV(1-$E$47/2) * $C$49) / ($E$47 * $B$49))^2</f>
        <v>1.4706105854816773E-2</v>
      </c>
      <c r="F49">
        <f>((_xlfn.NORM.S.INV(1-$F$47/2) * $C$49) / ($F$47 * $B$49))^2</f>
        <v>0.63500284855813649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3141.7904759536336</v>
      </c>
      <c r="E55" s="20">
        <f>D55/SQRT(35)</f>
        <v>531.05951764354893</v>
      </c>
      <c r="F55" s="23">
        <f>$B$49-E55</f>
        <v>616886.82429188024</v>
      </c>
      <c r="G55" s="23">
        <f>SUM($B$49,E55)</f>
        <v>617948.9433271673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3743.6742570539682</v>
      </c>
      <c r="E56" s="20">
        <f>D56/SQRT(35)</f>
        <v>632.7964453333559</v>
      </c>
      <c r="F56" s="23">
        <f>$B$49-E56</f>
        <v>616785.08736419037</v>
      </c>
      <c r="G56" s="23">
        <f>SUM($B$49,E56)</f>
        <v>618050.68025485717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14.055098875839818</v>
      </c>
      <c r="E63" s="20">
        <f>D63/SQRT(35)</f>
        <v>2.3757453231092023</v>
      </c>
      <c r="F63" s="23">
        <f>$B$48-E63</f>
        <v>161.20088150292082</v>
      </c>
      <c r="G63" s="23">
        <f>SUM($B$48,E63)</f>
        <v>165.95237214913925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16.747683285868558</v>
      </c>
      <c r="E64" s="20">
        <f>D64/SQRT(35)</f>
        <v>2.830875157179495</v>
      </c>
      <c r="F64" s="23">
        <f>$B$48-E64</f>
        <v>160.74575166885055</v>
      </c>
      <c r="G64" s="23">
        <f>SUM($B$48,E64)</f>
        <v>166.40750198320953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7B01-E716-4B62-9C4B-CB6E2CFA1D0B}">
  <dimension ref="A1:J64"/>
  <sheetViews>
    <sheetView topLeftCell="A35" zoomScaleNormal="100" workbookViewId="0">
      <selection activeCell="K55" sqref="K55"/>
    </sheetView>
  </sheetViews>
  <sheetFormatPr baseColWidth="10" defaultColWidth="8.83203125" defaultRowHeight="15" x14ac:dyDescent="0.2"/>
  <cols>
    <col min="1" max="1" width="15.6640625" bestFit="1" customWidth="1"/>
    <col min="2" max="2" width="19.33203125" bestFit="1" customWidth="1"/>
    <col min="3" max="4" width="12.1640625" bestFit="1" customWidth="1"/>
    <col min="5" max="5" width="18" bestFit="1" customWidth="1"/>
    <col min="6" max="6" width="12.83203125" bestFit="1" customWidth="1"/>
    <col min="7" max="9" width="12.1640625" bestFit="1" customWidth="1"/>
    <col min="10" max="10" width="11.1640625" bestFit="1" customWidth="1"/>
  </cols>
  <sheetData>
    <row r="1" spans="1:2" x14ac:dyDescent="0.2">
      <c r="A1" t="s">
        <v>1</v>
      </c>
      <c r="B1" t="s">
        <v>2</v>
      </c>
    </row>
    <row r="2" spans="1:2" x14ac:dyDescent="0.2">
      <c r="A2">
        <v>164.39143426295001</v>
      </c>
      <c r="B2">
        <v>619526.93333332997</v>
      </c>
    </row>
    <row r="3" spans="1:2" x14ac:dyDescent="0.2">
      <c r="A3">
        <v>163.59943559096999</v>
      </c>
      <c r="B3">
        <v>617267.03333332995</v>
      </c>
    </row>
    <row r="4" spans="1:2" x14ac:dyDescent="0.2">
      <c r="A4">
        <v>157.33764940239001</v>
      </c>
      <c r="B4">
        <v>617652.73333333002</v>
      </c>
    </row>
    <row r="5" spans="1:2" x14ac:dyDescent="0.2">
      <c r="A5">
        <v>173.12367197875</v>
      </c>
      <c r="B5">
        <v>619052.1</v>
      </c>
    </row>
    <row r="6" spans="1:2" x14ac:dyDescent="0.2">
      <c r="A6">
        <v>159.43974103586001</v>
      </c>
      <c r="B6">
        <v>618029.80000000005</v>
      </c>
    </row>
    <row r="7" spans="1:2" x14ac:dyDescent="0.2">
      <c r="A7">
        <v>150.71862549801</v>
      </c>
      <c r="B7">
        <v>619984.5</v>
      </c>
    </row>
    <row r="8" spans="1:2" x14ac:dyDescent="0.2">
      <c r="A8">
        <v>149.76693227091999</v>
      </c>
      <c r="B8">
        <v>619032.6</v>
      </c>
    </row>
    <row r="9" spans="1:2" x14ac:dyDescent="0.2">
      <c r="A9">
        <v>160.89923638778001</v>
      </c>
      <c r="B9">
        <v>619329.03333332995</v>
      </c>
    </row>
    <row r="10" spans="1:2" x14ac:dyDescent="0.2">
      <c r="A10">
        <v>152.14027224436001</v>
      </c>
      <c r="B10">
        <v>619381.43333332997</v>
      </c>
    </row>
    <row r="11" spans="1:2" x14ac:dyDescent="0.2">
      <c r="A11">
        <v>165.65089641434</v>
      </c>
      <c r="B11">
        <v>614246.19999999995</v>
      </c>
    </row>
    <row r="12" spans="1:2" x14ac:dyDescent="0.2">
      <c r="A12">
        <v>156.328187251</v>
      </c>
      <c r="B12">
        <v>615163.76666666998</v>
      </c>
    </row>
    <row r="13" spans="1:2" x14ac:dyDescent="0.2">
      <c r="A13">
        <v>150.77423638778001</v>
      </c>
      <c r="B13">
        <v>621026.93333332997</v>
      </c>
    </row>
    <row r="14" spans="1:2" x14ac:dyDescent="0.2">
      <c r="A14">
        <v>164.89442231076001</v>
      </c>
      <c r="B14">
        <v>620254.26666666998</v>
      </c>
    </row>
    <row r="15" spans="1:2" x14ac:dyDescent="0.2">
      <c r="A15">
        <v>157.94007304117</v>
      </c>
      <c r="B15">
        <v>621700.26666666998</v>
      </c>
    </row>
    <row r="16" spans="1:2" x14ac:dyDescent="0.2">
      <c r="A16">
        <v>162.87383798140999</v>
      </c>
      <c r="B16">
        <v>615449.93333332997</v>
      </c>
    </row>
    <row r="17" spans="1:2" x14ac:dyDescent="0.2">
      <c r="A17">
        <v>181.85673970784001</v>
      </c>
      <c r="B17">
        <v>621092.73333333002</v>
      </c>
    </row>
    <row r="18" spans="1:2" x14ac:dyDescent="0.2">
      <c r="A18">
        <v>155.39873837981</v>
      </c>
      <c r="B18">
        <v>616603.46666667005</v>
      </c>
    </row>
    <row r="19" spans="1:2" x14ac:dyDescent="0.2">
      <c r="A19">
        <v>166.24501992032</v>
      </c>
      <c r="B19">
        <v>616701.23333333002</v>
      </c>
    </row>
    <row r="20" spans="1:2" x14ac:dyDescent="0.2">
      <c r="A20">
        <v>151.01162018592001</v>
      </c>
      <c r="B20">
        <v>616931.23333333002</v>
      </c>
    </row>
    <row r="21" spans="1:2" x14ac:dyDescent="0.2">
      <c r="A21">
        <v>156.70401726428</v>
      </c>
      <c r="B21">
        <v>616542.96666667005</v>
      </c>
    </row>
    <row r="22" spans="1:2" x14ac:dyDescent="0.2">
      <c r="A22">
        <v>165.17795484728001</v>
      </c>
      <c r="B22">
        <v>616148.36666666996</v>
      </c>
    </row>
    <row r="23" spans="1:2" x14ac:dyDescent="0.2">
      <c r="A23">
        <v>158.46347941567001</v>
      </c>
      <c r="B23">
        <v>616827.23333333002</v>
      </c>
    </row>
    <row r="24" spans="1:2" x14ac:dyDescent="0.2">
      <c r="A24">
        <v>176.25697211155</v>
      </c>
      <c r="B24">
        <v>617437.63333333004</v>
      </c>
    </row>
    <row r="25" spans="1:2" x14ac:dyDescent="0.2">
      <c r="A25">
        <v>161.00547808765</v>
      </c>
      <c r="B25">
        <v>613178.76666666998</v>
      </c>
    </row>
    <row r="26" spans="1:2" x14ac:dyDescent="0.2">
      <c r="A26">
        <v>151.76062416999</v>
      </c>
      <c r="B26">
        <v>616724.6</v>
      </c>
    </row>
    <row r="27" spans="1:2" x14ac:dyDescent="0.2">
      <c r="A27">
        <v>165.42828685258999</v>
      </c>
      <c r="B27">
        <v>616450.26666666998</v>
      </c>
    </row>
    <row r="28" spans="1:2" x14ac:dyDescent="0.2">
      <c r="A28">
        <v>166.72277556441</v>
      </c>
      <c r="B28">
        <v>619662.53333332995</v>
      </c>
    </row>
    <row r="29" spans="1:2" x14ac:dyDescent="0.2">
      <c r="A29">
        <v>164.06889110226001</v>
      </c>
      <c r="B29">
        <v>615327</v>
      </c>
    </row>
    <row r="30" spans="1:2" x14ac:dyDescent="0.2">
      <c r="A30">
        <v>157.65720451527</v>
      </c>
      <c r="B30">
        <v>621041.80000000005</v>
      </c>
    </row>
    <row r="31" spans="1:2" x14ac:dyDescent="0.2">
      <c r="A31">
        <v>155.74817397077999</v>
      </c>
      <c r="B31">
        <v>617730.1</v>
      </c>
    </row>
    <row r="32" spans="1:2" x14ac:dyDescent="0.2">
      <c r="A32">
        <v>163.19405710491</v>
      </c>
      <c r="B32">
        <v>617681.46666667005</v>
      </c>
    </row>
    <row r="33" spans="1:10" x14ac:dyDescent="0.2">
      <c r="A33">
        <v>158.44920318724999</v>
      </c>
      <c r="B33">
        <v>620077.13333333004</v>
      </c>
    </row>
    <row r="34" spans="1:10" x14ac:dyDescent="0.2">
      <c r="A34">
        <v>154.36205179282999</v>
      </c>
      <c r="B34">
        <v>619628.56666667003</v>
      </c>
    </row>
    <row r="35" spans="1:10" x14ac:dyDescent="0.2">
      <c r="A35">
        <v>155.52357237716001</v>
      </c>
      <c r="B35">
        <v>616387.1</v>
      </c>
    </row>
    <row r="36" spans="1:10" x14ac:dyDescent="0.2">
      <c r="A36">
        <v>166.90853253652</v>
      </c>
      <c r="B36">
        <v>614488.63333333004</v>
      </c>
    </row>
    <row r="46" spans="1:10" x14ac:dyDescent="0.2">
      <c r="A46" s="13"/>
      <c r="D46" s="12" t="s">
        <v>5</v>
      </c>
      <c r="E46" s="12" t="s">
        <v>6</v>
      </c>
      <c r="F46" s="12" t="s">
        <v>7</v>
      </c>
      <c r="H46" s="27" t="s">
        <v>15</v>
      </c>
      <c r="I46" s="28"/>
      <c r="J46" s="28"/>
    </row>
    <row r="47" spans="1:10" x14ac:dyDescent="0.2">
      <c r="B47" s="12" t="s">
        <v>3</v>
      </c>
      <c r="C47" s="12" t="s">
        <v>4</v>
      </c>
      <c r="D47">
        <v>0.1</v>
      </c>
      <c r="E47">
        <v>0.05</v>
      </c>
      <c r="F47">
        <v>0.01</v>
      </c>
      <c r="H47" s="1" t="s">
        <v>10</v>
      </c>
      <c r="I47" s="1" t="s">
        <v>11</v>
      </c>
      <c r="J47" s="1" t="s">
        <v>12</v>
      </c>
    </row>
    <row r="48" spans="1:10" x14ac:dyDescent="0.2">
      <c r="A48" s="12" t="s">
        <v>8</v>
      </c>
      <c r="B48">
        <f>AVERAGE(A2:A36)</f>
        <v>160.62348700436399</v>
      </c>
      <c r="C48">
        <f>_xlfn.STDEV.S(A2:A36)</f>
        <v>7.351561611776817</v>
      </c>
      <c r="D48">
        <f>((_xlfn.NORM.S.INV(1-$D$47/2) * $C$48) / ($D$47 * $B$48))^2</f>
        <v>0.56675533443561321</v>
      </c>
      <c r="E48">
        <f>((_xlfn.NORM.S.INV(1-$E$47/2) * $C$48) / ($E$47 * $B$48))^2</f>
        <v>3.2188243368962075</v>
      </c>
      <c r="F48">
        <f>((_xlfn.NORM.S.INV(1-$F$47/2) * $C$48) / ($F$47 * $B$48))^2</f>
        <v>138.98734601232837</v>
      </c>
      <c r="H48">
        <f>_xlfn.NORM.S.INV(1-0.01/2)</f>
        <v>2.5758293035488999</v>
      </c>
      <c r="I48">
        <f>(_xlfn.NORM.S.INV(1-$F$47/2) * $C$48)</f>
        <v>18.936367826459907</v>
      </c>
      <c r="J48">
        <f>($F$47 * $B$48)</f>
        <v>1.60623487004364</v>
      </c>
    </row>
    <row r="49" spans="1:7" x14ac:dyDescent="0.2">
      <c r="A49" s="12" t="s">
        <v>9</v>
      </c>
      <c r="B49">
        <f>AVERAGE(B2:B36)</f>
        <v>617821.72476190433</v>
      </c>
      <c r="C49">
        <f>_xlfn.STDEV.S(B2:B36)</f>
        <v>2157.9662972543697</v>
      </c>
      <c r="D49">
        <f>((_xlfn.NORM.S.INV(1-$D$47/2) * $C$49) / ($D$47 * $B$49))^2</f>
        <v>3.3007868301438239E-3</v>
      </c>
      <c r="E49">
        <f>((_xlfn.NORM.S.INV(1-$E$47/2) * $C$49) / ($E$47 * $B$49))^2</f>
        <v>1.8746454306166668E-2</v>
      </c>
      <c r="F49">
        <f>((_xlfn.NORM.S.INV(1-$F$47/2) * $C$49) / ($F$47 * $B$49))^2</f>
        <v>0.80946322583974717</v>
      </c>
    </row>
    <row r="53" spans="1:7" x14ac:dyDescent="0.2">
      <c r="B53" s="29" t="s">
        <v>19</v>
      </c>
      <c r="C53" s="29"/>
      <c r="D53" s="29"/>
      <c r="E53" s="29"/>
      <c r="F53" s="29"/>
      <c r="G53" s="29"/>
    </row>
    <row r="54" spans="1:7" x14ac:dyDescent="0.2">
      <c r="A54" s="19" t="s">
        <v>17</v>
      </c>
      <c r="B54" s="19" t="s">
        <v>16</v>
      </c>
      <c r="C54" s="19" t="s">
        <v>10</v>
      </c>
      <c r="D54" s="19" t="s">
        <v>11</v>
      </c>
      <c r="E54" s="19" t="s">
        <v>18</v>
      </c>
      <c r="F54" s="19" t="s">
        <v>20</v>
      </c>
      <c r="G54" s="19" t="s">
        <v>21</v>
      </c>
    </row>
    <row r="55" spans="1:7" x14ac:dyDescent="0.2">
      <c r="A55" s="20">
        <v>0.9</v>
      </c>
      <c r="B55" s="20">
        <f>1-A55</f>
        <v>9.9999999999999978E-2</v>
      </c>
      <c r="C55" s="20">
        <f>_xlfn.NORM.S.INV(1-B55/2)</f>
        <v>1.6448536269514715</v>
      </c>
      <c r="D55" s="20">
        <f>C55*$C$49</f>
        <v>3549.5386908778873</v>
      </c>
      <c r="E55" s="20">
        <f>D55/SQRT(35)</f>
        <v>599.98154538378708</v>
      </c>
      <c r="F55" s="23">
        <f>$B$49-E55</f>
        <v>617221.74321652052</v>
      </c>
      <c r="G55" s="23">
        <f>SUM($B$49,E55)</f>
        <v>618421.70630728814</v>
      </c>
    </row>
    <row r="56" spans="1:7" x14ac:dyDescent="0.2">
      <c r="A56" s="20">
        <v>0.95</v>
      </c>
      <c r="B56" s="20">
        <f>1-A56</f>
        <v>5.0000000000000044E-2</v>
      </c>
      <c r="C56" s="20">
        <f>_xlfn.NORM.S.INV(1-B56/2)</f>
        <v>1.9599639845400536</v>
      </c>
      <c r="D56" s="20">
        <f>C56*$C$49</f>
        <v>4229.5362224698201</v>
      </c>
      <c r="E56" s="20">
        <f>D56/SQRT(35)</f>
        <v>714.92210678974925</v>
      </c>
      <c r="F56" s="23">
        <f>$B$49-E56</f>
        <v>617106.80265511456</v>
      </c>
      <c r="G56" s="23">
        <f>SUM($B$49,E56)</f>
        <v>618536.64686869411</v>
      </c>
    </row>
    <row r="61" spans="1:7" x14ac:dyDescent="0.2">
      <c r="B61" s="29" t="s">
        <v>22</v>
      </c>
      <c r="C61" s="29"/>
      <c r="D61" s="29"/>
      <c r="E61" s="29"/>
      <c r="F61" s="29"/>
      <c r="G61" s="29"/>
    </row>
    <row r="62" spans="1:7" x14ac:dyDescent="0.2">
      <c r="A62" s="19" t="s">
        <v>17</v>
      </c>
      <c r="B62" s="19" t="s">
        <v>16</v>
      </c>
      <c r="C62" s="19" t="s">
        <v>10</v>
      </c>
      <c r="D62" s="19" t="s">
        <v>11</v>
      </c>
      <c r="E62" s="19" t="s">
        <v>18</v>
      </c>
      <c r="F62" s="19" t="s">
        <v>20</v>
      </c>
      <c r="G62" s="19" t="s">
        <v>21</v>
      </c>
    </row>
    <row r="63" spans="1:7" x14ac:dyDescent="0.2">
      <c r="A63" s="20">
        <v>0.9</v>
      </c>
      <c r="B63" s="20">
        <f>1-A63</f>
        <v>9.9999999999999978E-2</v>
      </c>
      <c r="C63" s="20">
        <f>_xlfn.NORM.S.INV(1-B63/2)</f>
        <v>1.6448536269514715</v>
      </c>
      <c r="D63" s="20">
        <f>C63*$C$48</f>
        <v>12.092242780888304</v>
      </c>
      <c r="E63" s="20">
        <f>D63/SQRT(35)</f>
        <v>2.0439620870955877</v>
      </c>
      <c r="F63" s="23">
        <f>$B$48-E63</f>
        <v>158.5795249172684</v>
      </c>
      <c r="G63" s="23">
        <f>SUM($B$48,E63)</f>
        <v>162.66744909145959</v>
      </c>
    </row>
    <row r="64" spans="1:7" x14ac:dyDescent="0.2">
      <c r="A64" s="20">
        <v>0.95</v>
      </c>
      <c r="B64" s="20">
        <f>1-A64</f>
        <v>5.0000000000000044E-2</v>
      </c>
      <c r="C64" s="20">
        <f>_xlfn.NORM.S.INV(1-B64/2)</f>
        <v>1.9599639845400536</v>
      </c>
      <c r="D64" s="20">
        <f>C64*$C$48</f>
        <v>14.408795989209789</v>
      </c>
      <c r="E64" s="20">
        <f>D64/SQRT(35)</f>
        <v>2.4355310471591678</v>
      </c>
      <c r="F64" s="23">
        <f>$B$48-E64</f>
        <v>158.18795595720482</v>
      </c>
      <c r="G64" s="23">
        <f>SUM($B$48,E64)</f>
        <v>163.05901805152317</v>
      </c>
    </row>
  </sheetData>
  <mergeCells count="3">
    <mergeCell ref="H46:J46"/>
    <mergeCell ref="B53:G53"/>
    <mergeCell ref="B61:G61"/>
  </mergeCell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B69086EF7D52488EA43A8A8A8360F4" ma:contentTypeVersion="13" ma:contentTypeDescription="Create a new document." ma:contentTypeScope="" ma:versionID="e12433c3e46cf18df7b6428bb766b205">
  <xsd:schema xmlns:xsd="http://www.w3.org/2001/XMLSchema" xmlns:xs="http://www.w3.org/2001/XMLSchema" xmlns:p="http://schemas.microsoft.com/office/2006/metadata/properties" xmlns:ns3="1cccac05-8945-4243-ad93-da46993c86a2" xmlns:ns4="962a8344-61eb-40a6-a8c2-c08ae08e811e" targetNamespace="http://schemas.microsoft.com/office/2006/metadata/properties" ma:root="true" ma:fieldsID="bfba5edf8792d0c6b51e4ebced53a53e" ns3:_="" ns4:_="">
    <xsd:import namespace="1cccac05-8945-4243-ad93-da46993c86a2"/>
    <xsd:import namespace="962a8344-61eb-40a6-a8c2-c08ae08e811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cac05-8945-4243-ad93-da46993c86a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2a8344-61eb-40a6-a8c2-c08ae08e8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2a8344-61eb-40a6-a8c2-c08ae08e811e" xsi:nil="true"/>
  </documentManagement>
</p:properties>
</file>

<file path=customXml/itemProps1.xml><?xml version="1.0" encoding="utf-8"?>
<ds:datastoreItem xmlns:ds="http://schemas.openxmlformats.org/officeDocument/2006/customXml" ds:itemID="{E7A4DDF7-0B67-41AF-8F66-177042E335B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FE2136F-D055-4A4F-AE9B-FE75EB43C2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ccac05-8945-4243-ad93-da46993c86a2"/>
    <ds:schemaRef ds:uri="962a8344-61eb-40a6-a8c2-c08ae08e81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484085-3585-4305-905A-79D9A2BFB5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DD160B6-CB74-48C3-BF02-A4B8906850BE}">
  <ds:schemaRefs>
    <ds:schemaRef ds:uri="http://www.w3.org/XML/1998/namespace"/>
    <ds:schemaRef ds:uri="http://purl.org/dc/elements/1.1/"/>
    <ds:schemaRef ds:uri="962a8344-61eb-40a6-a8c2-c08ae08e811e"/>
    <ds:schemaRef ds:uri="1cccac05-8945-4243-ad93-da46993c86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25</vt:i4>
      </vt:variant>
    </vt:vector>
  </HeadingPairs>
  <TitlesOfParts>
    <vt:vector size="25" baseType="lpstr">
      <vt:lpstr>N=8 K=2</vt:lpstr>
      <vt:lpstr>N=8 K=5</vt:lpstr>
      <vt:lpstr>N=8 K=20</vt:lpstr>
      <vt:lpstr>N=8 K=50</vt:lpstr>
      <vt:lpstr>N=8 K=1000</vt:lpstr>
      <vt:lpstr>N=12 K=2</vt:lpstr>
      <vt:lpstr>N=12 K=5</vt:lpstr>
      <vt:lpstr>N=12 K=20</vt:lpstr>
      <vt:lpstr>N=12 K=50</vt:lpstr>
      <vt:lpstr>N=12 K=1000</vt:lpstr>
      <vt:lpstr>N=16 K=2</vt:lpstr>
      <vt:lpstr>N=16 K=5</vt:lpstr>
      <vt:lpstr>N=16 K=20</vt:lpstr>
      <vt:lpstr>N=16 K=50</vt:lpstr>
      <vt:lpstr>N=16 K=1000</vt:lpstr>
      <vt:lpstr>N=20 K=2</vt:lpstr>
      <vt:lpstr>N=20 K=5</vt:lpstr>
      <vt:lpstr>N=20 K=20</vt:lpstr>
      <vt:lpstr>N=20 K=50</vt:lpstr>
      <vt:lpstr>N=20 K=1000</vt:lpstr>
      <vt:lpstr>N=24 K=2</vt:lpstr>
      <vt:lpstr>N=24 K=5</vt:lpstr>
      <vt:lpstr>N=24 K=20</vt:lpstr>
      <vt:lpstr>N=24 K=50</vt:lpstr>
      <vt:lpstr>N=24 K=1000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Congiusti</dc:creator>
  <cp:lastModifiedBy>Iacopo Massei</cp:lastModifiedBy>
  <dcterms:created xsi:type="dcterms:W3CDTF">2026-01-10T16:13:49Z</dcterms:created>
  <dcterms:modified xsi:type="dcterms:W3CDTF">2026-01-17T14:53:09Z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0x0101002DB69086EF7D52488EA43A8A8A8360F4</vt:lpwstr>
  </property>
</Properties>
</file>